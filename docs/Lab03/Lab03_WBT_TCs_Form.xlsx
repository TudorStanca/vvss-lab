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89609E33-B6AF-48FF-A479-79E09B3840B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4" l="1"/>
  <c r="N19" i="4"/>
  <c r="I19" i="4"/>
</calcChain>
</file>

<file path=xl/sharedStrings.xml><?xml version="1.0" encoding="utf-8"?>
<sst xmlns="http://schemas.openxmlformats.org/spreadsheetml/2006/main" count="242" uniqueCount="130">
  <si>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</si>
  <si>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</si>
  <si>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</si>
  <si>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</si>
  <si>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</si>
  <si>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</si>
  <si>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</si>
  <si>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</si>
  <si>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</si>
  <si>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</si>
  <si>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</si>
  <si>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</si>
  <si>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</si>
  <si>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</si>
  <si>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</si>
  <si>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</si>
  <si>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</si>
  <si>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</si>
  <si>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</si>
  <si>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</si>
  <si>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</si>
  <si>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</si>
  <si>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</si>
  <si>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</si>
  <si>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</si>
  <si>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</si>
  <si>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</si>
  <si>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</si>
  <si>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</si>
  <si>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</si>
  <si>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</si>
  <si>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</si>
  <si>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</si>
  <si>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</si>
  <si>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</si>
  <si>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</si>
  <si>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</si>
  <si>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</si>
  <si>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</si>
  <si>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</si>
  <si>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</si>
  <si>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</si>
  <si>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</si>
  <si>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</si>
  <si>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</si>
  <si>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</si>
  <si>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</si>
  <si>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</si>
  <si>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</si>
  <si>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</si>
  <si>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</si>
  <si>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</si>
  <si>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</si>
  <si>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</si>
  <si>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</si>
  <si>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</si>
  <si>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</si>
  <si>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</si>
  <si>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</si>
  <si>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</si>
  <si>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</si>
  <si>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</si>
  <si>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</si>
  <si>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</si>
  <si>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</si>
  <si>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</si>
  <si>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</si>
  <si>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</si>
  <si>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</si>
  <si>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</si>
  <si>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</si>
  <si>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</si>
  <si>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</si>
  <si>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</si>
  <si>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</si>
  <si>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</si>
  <si>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</si>
  <si>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1. Finalizare unei comenzi</t>
  </si>
  <si>
    <t xml:space="preserve">Angajații unui magazin de băuturi doresc calcularea totalului unei comenzi, pe baza produselor existente și capacității lor  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</si>
  <si>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Calcularea totalului unei comenzi</t>
    </r>
  </si>
  <si>
    <t>Secure George-Sebastian</t>
  </si>
  <si>
    <t>Stanca Vlad-Tudor</t>
  </si>
  <si>
    <t>Șandru Ștefan Tiberius</t>
  </si>
  <si>
    <t>19 - 15 + 2 = 6</t>
  </si>
  <si>
    <t>5 + 1 = 6</t>
  </si>
  <si>
    <t>F02_P04</t>
  </si>
  <si>
    <t>F02_P05</t>
  </si>
  <si>
    <t>F02_P06</t>
  </si>
  <si>
    <t>1 - 2(F) - 4 - 5(F) - 14 - 15</t>
  </si>
  <si>
    <t>1 - 2(T) - 3 - 15</t>
  </si>
  <si>
    <t>1 - 2(F) - 4 - 5(T) - 6 - 7(T) - 8 - 15</t>
  </si>
  <si>
    <t xml:space="preserve">1 - 2(F) - 4 - 5(T) - 6 - 7(F) - 9(T) - 10 - 15 </t>
  </si>
  <si>
    <t>1 - 2(F) - 4 - 5(T) - 6 - 7(F) - 9(F) - 11(T) - 12 - 15</t>
  </si>
  <si>
    <t>1 - 2(F) - 4 - 5(T) - 6 - 7(F) - 9(F) - 11(F) - 13 - 5(F) - 14 - 15</t>
  </si>
  <si>
    <t>F02. Calcularea totalului unei comenzi</t>
  </si>
  <si>
    <t>null</t>
  </si>
  <si>
    <t>X</t>
  </si>
  <si>
    <t>[]</t>
  </si>
  <si>
    <t>F02_TC03</t>
  </si>
  <si>
    <t>[(NonExistent, 1)]</t>
  </si>
  <si>
    <t>F02_TC04</t>
  </si>
  <si>
    <t>[(Lapte(10€), -1)]</t>
  </si>
  <si>
    <t>F02_TC05</t>
  </si>
  <si>
    <t>[(Cafea(-10€), 2)]</t>
  </si>
  <si>
    <t>F02_TC06</t>
  </si>
  <si>
    <t>F02_TC07</t>
  </si>
  <si>
    <t>[(Miere(2€), 2)]</t>
  </si>
  <si>
    <t>F02_TC08</t>
  </si>
  <si>
    <t>2, 3</t>
  </si>
  <si>
    <t>2, 4, 5, 14</t>
  </si>
  <si>
    <t>2, 4, 5, 6, 7, 8</t>
  </si>
  <si>
    <t>err „Order has unknown items”</t>
  </si>
  <si>
    <t>err „Product appears in order negative times”</t>
  </si>
  <si>
    <t>err „Product has negative price”</t>
  </si>
  <si>
    <t>2, 4, 5, 6, 7, 9, 10</t>
  </si>
  <si>
    <t>2, 4, 5, 6, 7, 9, 11, 12</t>
  </si>
  <si>
    <t>2, 4, 5, 6, 7, 9, 11, 13, 14</t>
  </si>
  <si>
    <t xml:space="preserve">2, 4, 5, 6, 7, 9, 11, 13, 12 </t>
  </si>
  <si>
    <t>[(Apa(12€), 1), (Gutui(14€), 2)]</t>
  </si>
  <si>
    <t>[(Apa(2€), 1), (Piersici(0€), 1)]</t>
  </si>
  <si>
    <t>O = null</t>
  </si>
  <si>
    <t>o.getItems().empty()</t>
  </si>
  <si>
    <t>P = null</t>
  </si>
  <si>
    <t>Quality &lt;= 0</t>
  </si>
  <si>
    <t>Pret &lt;= 0</t>
  </si>
  <si>
    <t>order</t>
  </si>
  <si>
    <t>0€</t>
  </si>
  <si>
    <t>40€</t>
  </si>
  <si>
    <t>4€</t>
  </si>
  <si>
    <t>[(Apa(2€), 1) (Piersici(0€), 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</si>
</sst>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0" fillId="0" borderId="0" xfId="0" applyAlignment="1">
      <alignment vertical="center"/>
    </xf>
    <xf numFmtId="0" fontId="12" fillId="0" borderId="0" xfId="0" applyFont="1"/>
    <xf numFmtId="0" fontId="13" fillId="3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0" fontId="14" fillId="4" borderId="7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8" fillId="0" borderId="0" xfId="0" applyFont="1"/>
    <xf numFmtId="0" fontId="0" fillId="2" borderId="7" xfId="0" applyFill="1" applyBorder="1"/>
    <xf numFmtId="0" fontId="0" fillId="2" borderId="9" xfId="0" applyFill="1" applyBorder="1"/>
    <xf numFmtId="0" fontId="0" fillId="0" borderId="7" xfId="0" applyBorder="1"/>
    <xf numFmtId="0" fontId="0" fillId="2" borderId="10" xfId="0" applyFill="1" applyBorder="1"/>
    <xf numFmtId="0" fontId="0" fillId="7" borderId="9" xfId="0" applyFill="1" applyBorder="1"/>
    <xf numFmtId="0" fontId="0" fillId="2" borderId="11" xfId="0" applyFill="1" applyBorder="1"/>
    <xf numFmtId="0" fontId="7" fillId="8" borderId="0" xfId="0" applyFont="1" applyFill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0" fillId="0" borderId="7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7" fillId="0" borderId="7" xfId="0" applyFont="1" applyBorder="1" applyAlignment="1">
      <alignment horizontal="left" vertical="center"/>
    </xf>
    <xf numFmtId="0" fontId="1" fillId="8" borderId="10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7" xfId="0" applyFont="1" applyFill="1" applyBorder="1" applyAlignment="1">
      <alignment horizontal="center"/>
    </xf>
    <xf numFmtId="0" fontId="13" fillId="0" borderId="19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/>
    </xf>
    <xf numFmtId="0" fontId="7" fillId="11" borderId="29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4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3" xfId="0" applyFont="1" applyFill="1" applyBorder="1" applyAlignment="1">
      <alignment horizontal="center" vertical="center"/>
    </xf>
    <xf numFmtId="0" fontId="7" fillId="12" borderId="34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left" vertical="center" wrapText="1"/>
    </xf>
    <xf numFmtId="0" fontId="18" fillId="0" borderId="7" xfId="0" applyFont="1" applyBorder="1" applyAlignment="1">
      <alignment vertical="center" wrapText="1"/>
    </xf>
    <xf numFmtId="0" fontId="18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19" fillId="0" borderId="7" xfId="0" applyFont="1" applyBorder="1" applyAlignment="1">
      <alignment vertical="center" wrapText="1"/>
    </xf>
    <xf numFmtId="0" fontId="19" fillId="0" borderId="7" xfId="0" applyFont="1" applyBorder="1" applyAlignment="1">
      <alignment horizontal="left" vertical="center" wrapText="1"/>
    </xf>
    <xf numFmtId="0" fontId="7" fillId="12" borderId="2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9" fontId="0" fillId="7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571499</xdr:colOff>
      <xdr:row>6</xdr:row>
      <xdr:rowOff>178127</xdr:rowOff>
    </xdr:from>
    <xdr:to>
      <xdr:col>7</xdr:col>
      <xdr:colOff>348092</xdr:colOff>
      <xdr:row>20</xdr:row>
      <xdr:rowOff>169970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B751B-D020-06ED-3882-DA0B1D107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9" y="1321127"/>
          <a:ext cx="3999343" cy="26588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15</xdr:col>
      <xdr:colOff>1</xdr:colOff>
      <xdr:row>35</xdr:row>
      <xdr:rowOff>138565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F62809-31FE-4830-36F3-732ED6CA8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3860" y="1667598"/>
          <a:ext cx="4377447" cy="4956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workbookViewId="0">
      <selection activeCell="G17" sqref="G17"/>
    </sheetView>
  </sheetViews>
  <sheetFormatPr defaultColWidth="8.84375" defaultRowHeight="14.6" x14ac:dyDescent="0.4"/>
  <cols>
    <col min="13" max="13" width="14" customWidth="1"/>
    <col min="14" max="14" width="11.15234375" customWidth="1"/>
    <col min="15" max="15" width="25.84375" customWidth="1"/>
  </cols>
  <sheetData>
    <row r="1" spans="2:16" x14ac:dyDescent="0.4">
      <c r="B1" s="9"/>
      <c r="D1" s="36" t="s">
        <v>0</v>
      </c>
      <c r="E1" s="37"/>
      <c r="F1" s="37"/>
      <c r="G1" s="38"/>
    </row>
    <row r="2" spans="2:16" x14ac:dyDescent="0.4">
      <c r="B2" s="33" t="s">
        <v>1</v>
      </c>
    </row>
    <row r="4" spans="2:16" x14ac:dyDescent="0.4">
      <c r="B4" s="1" t="s">
        <v>2</v>
      </c>
      <c r="N4" s="4" t="s">
        <v>3</v>
      </c>
      <c r="O4" s="4"/>
      <c r="P4" s="4"/>
    </row>
    <row r="5" spans="2:16" x14ac:dyDescent="0.4">
      <c r="B5" s="1" t="s">
        <v>4</v>
      </c>
      <c r="N5" s="29" t="s">
        <v>5</v>
      </c>
      <c r="O5" s="29"/>
      <c r="P5" s="29"/>
    </row>
    <row r="6" spans="2:16" x14ac:dyDescent="0.4">
      <c r="B6" s="1" t="s">
        <v>6</v>
      </c>
      <c r="N6" s="21"/>
      <c r="O6" s="21" t="s">
        <v>7</v>
      </c>
      <c r="P6" s="21" t="s">
        <v>8</v>
      </c>
    </row>
    <row r="7" spans="2:16" x14ac:dyDescent="0.4">
      <c r="B7" s="1"/>
      <c r="C7" s="1"/>
      <c r="D7" s="1"/>
      <c r="E7" s="1"/>
      <c r="N7" s="21" t="s">
        <v>9</v>
      </c>
      <c r="O7" s="21" t="s">
        <v>80</v>
      </c>
      <c r="P7" s="21">
        <v>236</v>
      </c>
    </row>
    <row r="8" spans="2:16" x14ac:dyDescent="0.4">
      <c r="B8" s="1"/>
      <c r="C8" s="1"/>
      <c r="D8" s="1"/>
      <c r="E8" s="1"/>
      <c r="N8" s="21" t="s">
        <v>10</v>
      </c>
      <c r="O8" s="21" t="s">
        <v>81</v>
      </c>
      <c r="P8" s="21">
        <v>236</v>
      </c>
    </row>
    <row r="9" spans="2:16" x14ac:dyDescent="0.4">
      <c r="B9" t="s">
        <v>77</v>
      </c>
      <c r="C9" s="1"/>
      <c r="D9" s="1"/>
      <c r="E9" s="1"/>
      <c r="N9" s="21" t="s">
        <v>11</v>
      </c>
      <c r="O9" s="21" t="s">
        <v>82</v>
      </c>
      <c r="P9" s="21">
        <v>236</v>
      </c>
    </row>
    <row r="10" spans="2:16" x14ac:dyDescent="0.4">
      <c r="B10" t="s">
        <v>78</v>
      </c>
      <c r="C10" s="1"/>
      <c r="D10" s="1"/>
      <c r="E10" s="1"/>
    </row>
    <row r="11" spans="2:16" x14ac:dyDescent="0.4">
      <c r="B11" s="31" t="s">
        <v>79</v>
      </c>
      <c r="C11" s="1"/>
      <c r="D11" s="1"/>
      <c r="E11" s="1"/>
    </row>
    <row r="12" spans="2:16" x14ac:dyDescent="0.4">
      <c r="C12" s="1"/>
      <c r="D12" s="1"/>
      <c r="E12" s="1"/>
    </row>
    <row r="19" spans="2:2" x14ac:dyDescent="0.4">
      <c r="B19" s="1"/>
    </row>
    <row r="20" spans="2:2" x14ac:dyDescent="0.4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H16" zoomScale="130" zoomScaleNormal="130" workbookViewId="0">
      <selection activeCell="R35" sqref="R35"/>
    </sheetView>
  </sheetViews>
  <sheetFormatPr defaultColWidth="8.84375" defaultRowHeight="14.6" x14ac:dyDescent="0.4"/>
  <cols>
    <col min="2" max="2" width="10" customWidth="1"/>
    <col min="17" max="17" width="10.53515625" customWidth="1"/>
    <col min="20" max="20" width="29.84375" customWidth="1"/>
  </cols>
  <sheetData>
    <row r="1" spans="2:20" x14ac:dyDescent="0.4">
      <c r="B1" s="9"/>
      <c r="D1" s="36" t="s">
        <v>0</v>
      </c>
      <c r="E1" s="37"/>
      <c r="F1" s="37"/>
      <c r="G1" s="37"/>
      <c r="H1" s="37"/>
      <c r="I1" s="38"/>
    </row>
    <row r="3" spans="2:20" x14ac:dyDescent="0.4">
      <c r="B3" s="42" t="s">
        <v>12</v>
      </c>
      <c r="C3" s="43"/>
      <c r="D3" s="43"/>
      <c r="E3" s="43"/>
      <c r="F3" s="43"/>
      <c r="G3" s="43"/>
      <c r="H3" s="43"/>
      <c r="I3" s="43"/>
      <c r="J3" s="43"/>
      <c r="K3" s="44"/>
    </row>
    <row r="6" spans="2:20" x14ac:dyDescent="0.4">
      <c r="B6" s="36" t="s">
        <v>13</v>
      </c>
      <c r="C6" s="37"/>
      <c r="D6" s="37"/>
      <c r="E6" s="38"/>
      <c r="F6" s="25"/>
      <c r="G6" s="25"/>
      <c r="I6" s="36" t="s">
        <v>14</v>
      </c>
      <c r="J6" s="37"/>
      <c r="K6" s="37"/>
      <c r="L6" s="37"/>
      <c r="M6" s="37"/>
      <c r="N6" s="37"/>
      <c r="O6" s="37"/>
      <c r="Q6" s="36" t="s">
        <v>15</v>
      </c>
      <c r="R6" s="37"/>
      <c r="S6" s="37"/>
      <c r="T6" s="37"/>
    </row>
    <row r="8" spans="2:20" x14ac:dyDescent="0.4">
      <c r="B8" s="26" t="s">
        <v>16</v>
      </c>
      <c r="C8" s="54" t="s">
        <v>17</v>
      </c>
      <c r="D8" s="54"/>
      <c r="E8" s="54"/>
      <c r="F8" s="27"/>
      <c r="G8" s="27"/>
      <c r="I8" s="9" t="s">
        <v>18</v>
      </c>
      <c r="Q8" s="41" t="s">
        <v>19</v>
      </c>
      <c r="R8" s="41"/>
      <c r="S8" s="41"/>
      <c r="T8" s="28">
        <v>6</v>
      </c>
    </row>
    <row r="9" spans="2:20" x14ac:dyDescent="0.4">
      <c r="B9" s="29" t="s">
        <v>21</v>
      </c>
      <c r="C9" s="40" t="s">
        <v>20</v>
      </c>
      <c r="D9" s="40"/>
      <c r="E9" s="40"/>
      <c r="F9" s="30"/>
      <c r="G9" s="30"/>
      <c r="I9" s="32"/>
      <c r="Q9" s="41" t="s">
        <v>22</v>
      </c>
      <c r="R9" s="41"/>
      <c r="S9" s="41"/>
      <c r="T9" s="28" t="s">
        <v>83</v>
      </c>
    </row>
    <row r="10" spans="2:20" x14ac:dyDescent="0.4">
      <c r="B10" s="29" t="s">
        <v>23</v>
      </c>
      <c r="C10" s="40" t="s">
        <v>20</v>
      </c>
      <c r="D10" s="40"/>
      <c r="E10" s="40"/>
      <c r="F10" s="30"/>
      <c r="G10" s="30"/>
      <c r="I10" s="45" t="s">
        <v>24</v>
      </c>
      <c r="J10" s="46"/>
      <c r="K10" s="46"/>
      <c r="L10" s="46"/>
      <c r="M10" s="46"/>
      <c r="N10" s="46"/>
      <c r="O10" s="47"/>
      <c r="Q10" s="41" t="s">
        <v>25</v>
      </c>
      <c r="R10" s="41" t="s">
        <v>26</v>
      </c>
      <c r="S10" s="41"/>
      <c r="T10" s="28" t="s">
        <v>84</v>
      </c>
    </row>
    <row r="11" spans="2:20" x14ac:dyDescent="0.4">
      <c r="B11" s="29" t="s">
        <v>27</v>
      </c>
      <c r="C11" s="40" t="s">
        <v>20</v>
      </c>
      <c r="D11" s="40"/>
      <c r="E11" s="40"/>
      <c r="F11" s="30"/>
      <c r="G11" s="30"/>
      <c r="I11" s="48"/>
      <c r="J11" s="49"/>
      <c r="K11" s="49"/>
      <c r="L11" s="49"/>
      <c r="M11" s="49"/>
      <c r="N11" s="49"/>
      <c r="O11" s="50"/>
    </row>
    <row r="12" spans="2:20" x14ac:dyDescent="0.4">
      <c r="B12" s="29" t="s">
        <v>28</v>
      </c>
      <c r="C12" s="40" t="s">
        <v>20</v>
      </c>
      <c r="D12" s="40"/>
      <c r="E12" s="40"/>
      <c r="F12" s="30"/>
      <c r="G12" s="30"/>
      <c r="I12" s="48"/>
      <c r="J12" s="49"/>
      <c r="K12" s="49"/>
      <c r="L12" s="49"/>
      <c r="M12" s="49"/>
      <c r="N12" s="49"/>
      <c r="O12" s="50"/>
    </row>
    <row r="13" spans="2:20" x14ac:dyDescent="0.4">
      <c r="B13" s="29" t="s">
        <v>29</v>
      </c>
      <c r="C13" s="40" t="s">
        <v>20</v>
      </c>
      <c r="D13" s="40"/>
      <c r="E13" s="40"/>
      <c r="F13" s="30"/>
      <c r="G13" s="30"/>
      <c r="I13" s="48"/>
      <c r="J13" s="49"/>
      <c r="K13" s="49"/>
      <c r="L13" s="49"/>
      <c r="M13" s="49"/>
      <c r="N13" s="49"/>
      <c r="O13" s="50"/>
      <c r="Q13" s="36" t="s">
        <v>30</v>
      </c>
      <c r="R13" s="37"/>
      <c r="S13" s="37"/>
      <c r="T13" s="37"/>
    </row>
    <row r="14" spans="2:20" x14ac:dyDescent="0.4">
      <c r="B14" s="29" t="s">
        <v>28</v>
      </c>
      <c r="C14" s="40" t="s">
        <v>20</v>
      </c>
      <c r="D14" s="40"/>
      <c r="E14" s="40"/>
      <c r="F14" s="30"/>
      <c r="G14" s="30"/>
      <c r="I14" s="48"/>
      <c r="J14" s="49"/>
      <c r="K14" s="49"/>
      <c r="L14" s="49"/>
      <c r="M14" s="49"/>
      <c r="N14" s="49"/>
      <c r="O14" s="50"/>
    </row>
    <row r="15" spans="2:20" x14ac:dyDescent="0.4">
      <c r="I15" s="48"/>
      <c r="J15" s="49"/>
      <c r="K15" s="49"/>
      <c r="L15" s="49"/>
      <c r="M15" s="49"/>
      <c r="N15" s="49"/>
      <c r="O15" s="50"/>
      <c r="Q15" s="26" t="s">
        <v>31</v>
      </c>
      <c r="R15" s="54" t="s">
        <v>32</v>
      </c>
      <c r="S15" s="54"/>
      <c r="T15" s="54"/>
    </row>
    <row r="16" spans="2:20" x14ac:dyDescent="0.4">
      <c r="I16" s="48"/>
      <c r="J16" s="49"/>
      <c r="K16" s="49"/>
      <c r="L16" s="49"/>
      <c r="M16" s="49"/>
      <c r="N16" s="49"/>
      <c r="O16" s="50"/>
      <c r="Q16" s="29" t="s">
        <v>33</v>
      </c>
      <c r="R16" s="39" t="s">
        <v>88</v>
      </c>
      <c r="S16" s="39"/>
      <c r="T16" s="39"/>
    </row>
    <row r="17" spans="9:20" x14ac:dyDescent="0.4">
      <c r="I17" s="48"/>
      <c r="J17" s="49"/>
      <c r="K17" s="49"/>
      <c r="L17" s="49"/>
      <c r="M17" s="49"/>
      <c r="N17" s="49"/>
      <c r="O17" s="50"/>
      <c r="Q17" s="29" t="s">
        <v>34</v>
      </c>
      <c r="R17" s="39" t="s">
        <v>89</v>
      </c>
      <c r="S17" s="39"/>
      <c r="T17" s="39"/>
    </row>
    <row r="18" spans="9:20" x14ac:dyDescent="0.4">
      <c r="I18" s="48"/>
      <c r="J18" s="49"/>
      <c r="K18" s="49"/>
      <c r="L18" s="49"/>
      <c r="M18" s="49"/>
      <c r="N18" s="49"/>
      <c r="O18" s="50"/>
      <c r="Q18" s="29" t="s">
        <v>35</v>
      </c>
      <c r="R18" s="39" t="s">
        <v>90</v>
      </c>
      <c r="S18" s="39"/>
      <c r="T18" s="39"/>
    </row>
    <row r="19" spans="9:20" x14ac:dyDescent="0.4">
      <c r="I19" s="48"/>
      <c r="J19" s="49"/>
      <c r="K19" s="49"/>
      <c r="L19" s="49"/>
      <c r="M19" s="49"/>
      <c r="N19" s="49"/>
      <c r="O19" s="50"/>
      <c r="Q19" s="29" t="s">
        <v>85</v>
      </c>
      <c r="R19" s="39" t="s">
        <v>91</v>
      </c>
      <c r="S19" s="39"/>
      <c r="T19" s="39"/>
    </row>
    <row r="20" spans="9:20" x14ac:dyDescent="0.4">
      <c r="I20" s="48"/>
      <c r="J20" s="49"/>
      <c r="K20" s="49"/>
      <c r="L20" s="49"/>
      <c r="M20" s="49"/>
      <c r="N20" s="49"/>
      <c r="O20" s="50"/>
      <c r="Q20" s="34" t="s">
        <v>86</v>
      </c>
      <c r="R20" s="39" t="s">
        <v>92</v>
      </c>
      <c r="S20" s="39"/>
      <c r="T20" s="39"/>
    </row>
    <row r="21" spans="9:20" x14ac:dyDescent="0.4">
      <c r="I21" s="48"/>
      <c r="J21" s="49"/>
      <c r="K21" s="49"/>
      <c r="L21" s="49"/>
      <c r="M21" s="49"/>
      <c r="N21" s="49"/>
      <c r="O21" s="50"/>
      <c r="Q21" s="34" t="s">
        <v>87</v>
      </c>
      <c r="R21" s="39" t="s">
        <v>93</v>
      </c>
      <c r="S21" s="39"/>
      <c r="T21" s="39"/>
    </row>
    <row r="22" spans="9:20" x14ac:dyDescent="0.4">
      <c r="I22" s="48"/>
      <c r="J22" s="49"/>
      <c r="K22" s="49"/>
      <c r="L22" s="49"/>
      <c r="M22" s="49"/>
      <c r="N22" s="49"/>
      <c r="O22" s="50"/>
    </row>
    <row r="23" spans="9:20" x14ac:dyDescent="0.4">
      <c r="I23" s="48"/>
      <c r="J23" s="49"/>
      <c r="K23" s="49"/>
      <c r="L23" s="49"/>
      <c r="M23" s="49"/>
      <c r="N23" s="49"/>
      <c r="O23" s="50"/>
    </row>
    <row r="24" spans="9:20" x14ac:dyDescent="0.4">
      <c r="I24" s="51"/>
      <c r="J24" s="52"/>
      <c r="K24" s="52"/>
      <c r="L24" s="52"/>
      <c r="M24" s="52"/>
      <c r="N24" s="52"/>
      <c r="O24" s="53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A17"/>
  <sheetViews>
    <sheetView topLeftCell="A2" zoomScale="85" zoomScaleNormal="85" workbookViewId="0">
      <selection activeCell="E25" sqref="E25"/>
    </sheetView>
  </sheetViews>
  <sheetFormatPr defaultColWidth="8.84375" defaultRowHeight="14.6" x14ac:dyDescent="0.4"/>
  <cols>
    <col min="2" max="2" width="12.3046875" customWidth="1"/>
    <col min="3" max="4" width="18.15234375" bestFit="1" customWidth="1"/>
    <col min="5" max="5" width="19.84375" bestFit="1" customWidth="1"/>
    <col min="6" max="6" width="8.15234375" customWidth="1"/>
    <col min="7" max="7" width="11.3828125" bestFit="1" customWidth="1"/>
    <col min="8" max="8" width="11.15234375" customWidth="1"/>
    <col min="9" max="9" width="9.3046875" customWidth="1"/>
    <col min="10" max="10" width="14.53515625" customWidth="1"/>
    <col min="11" max="11" width="6.15234375" customWidth="1"/>
    <col min="12" max="12" width="6.3828125" customWidth="1"/>
    <col min="13" max="13" width="5" customWidth="1"/>
    <col min="15" max="15" width="11.84375" customWidth="1"/>
    <col min="16" max="17" width="8.84375" customWidth="1"/>
    <col min="21" max="21" width="9.15234375" customWidth="1"/>
    <col min="22" max="24" width="2.15234375" bestFit="1" customWidth="1"/>
    <col min="25" max="25" width="3.53515625" bestFit="1" customWidth="1"/>
    <col min="26" max="26" width="2.15234375" bestFit="1" customWidth="1"/>
    <col min="27" max="27" width="4.07421875" customWidth="1"/>
  </cols>
  <sheetData>
    <row r="1" spans="2:27" x14ac:dyDescent="0.4">
      <c r="B1" s="9"/>
      <c r="D1" s="36" t="s">
        <v>0</v>
      </c>
      <c r="E1" s="37"/>
      <c r="F1" s="37"/>
      <c r="G1" s="38"/>
    </row>
    <row r="3" spans="2:27" x14ac:dyDescent="0.4">
      <c r="B3" s="61" t="s">
        <v>94</v>
      </c>
      <c r="C3" s="43"/>
      <c r="D3" s="43"/>
      <c r="E3" s="43"/>
      <c r="F3" s="44"/>
    </row>
    <row r="5" spans="2:27" x14ac:dyDescent="0.4">
      <c r="B5" s="8"/>
    </row>
    <row r="6" spans="2:27" ht="15.9" x14ac:dyDescent="0.4">
      <c r="B6" s="62" t="s">
        <v>36</v>
      </c>
      <c r="C6" s="62" t="s">
        <v>37</v>
      </c>
      <c r="D6" s="63" t="s">
        <v>38</v>
      </c>
      <c r="E6" s="98" t="s">
        <v>39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0"/>
    </row>
    <row r="7" spans="2:27" ht="15.9" customHeight="1" x14ac:dyDescent="0.4">
      <c r="B7" s="62"/>
      <c r="C7" s="62"/>
      <c r="D7" s="64"/>
      <c r="E7" s="58" t="s">
        <v>40</v>
      </c>
      <c r="F7" s="57" t="s">
        <v>41</v>
      </c>
      <c r="G7" s="57"/>
      <c r="H7" s="57"/>
      <c r="I7" s="57"/>
      <c r="J7" s="57"/>
      <c r="K7" s="57"/>
      <c r="L7" s="57"/>
      <c r="M7" s="57"/>
      <c r="N7" s="57"/>
      <c r="O7" s="57"/>
      <c r="P7" s="59" t="s">
        <v>42</v>
      </c>
      <c r="Q7" s="59"/>
      <c r="R7" s="59"/>
      <c r="S7" s="59"/>
      <c r="T7" s="59"/>
      <c r="U7" s="59"/>
      <c r="V7" s="101" t="s">
        <v>43</v>
      </c>
      <c r="W7" s="102"/>
      <c r="X7" s="102"/>
      <c r="Y7" s="102"/>
      <c r="Z7" s="102"/>
      <c r="AA7" s="103"/>
    </row>
    <row r="8" spans="2:27" ht="15.65" customHeight="1" x14ac:dyDescent="0.4">
      <c r="B8" s="62"/>
      <c r="C8" s="55" t="s">
        <v>20</v>
      </c>
      <c r="D8" s="55" t="s">
        <v>20</v>
      </c>
      <c r="E8" s="58"/>
      <c r="F8" s="57" t="s">
        <v>120</v>
      </c>
      <c r="G8" s="57"/>
      <c r="H8" s="57" t="s">
        <v>121</v>
      </c>
      <c r="I8" s="57"/>
      <c r="J8" s="57" t="s">
        <v>122</v>
      </c>
      <c r="K8" s="57"/>
      <c r="L8" s="57" t="s">
        <v>123</v>
      </c>
      <c r="M8" s="57"/>
      <c r="N8" s="57" t="s">
        <v>124</v>
      </c>
      <c r="O8" s="57"/>
      <c r="P8" s="59" t="s">
        <v>33</v>
      </c>
      <c r="Q8" s="59" t="s">
        <v>34</v>
      </c>
      <c r="R8" s="59" t="s">
        <v>35</v>
      </c>
      <c r="S8" s="59" t="s">
        <v>85</v>
      </c>
      <c r="T8" s="59" t="s">
        <v>86</v>
      </c>
      <c r="U8" s="59" t="s">
        <v>87</v>
      </c>
      <c r="V8" s="60">
        <v>0</v>
      </c>
      <c r="W8" s="60">
        <v>1</v>
      </c>
      <c r="X8" s="60">
        <v>2</v>
      </c>
      <c r="Y8" s="60" t="s">
        <v>44</v>
      </c>
      <c r="Z8" s="60" t="s">
        <v>45</v>
      </c>
      <c r="AA8" s="60" t="s">
        <v>46</v>
      </c>
    </row>
    <row r="9" spans="2:27" ht="15.9" x14ac:dyDescent="0.4">
      <c r="B9" s="62"/>
      <c r="C9" s="56"/>
      <c r="D9" s="56"/>
      <c r="E9" s="58"/>
      <c r="F9" s="10" t="s">
        <v>47</v>
      </c>
      <c r="G9" s="10" t="s">
        <v>48</v>
      </c>
      <c r="H9" s="10" t="s">
        <v>47</v>
      </c>
      <c r="I9" s="10" t="s">
        <v>48</v>
      </c>
      <c r="J9" s="10" t="s">
        <v>47</v>
      </c>
      <c r="K9" s="10" t="s">
        <v>48</v>
      </c>
      <c r="L9" s="10" t="s">
        <v>47</v>
      </c>
      <c r="M9" s="10" t="s">
        <v>48</v>
      </c>
      <c r="N9" s="10" t="s">
        <v>47</v>
      </c>
      <c r="O9" s="10" t="s">
        <v>48</v>
      </c>
      <c r="P9" s="59"/>
      <c r="Q9" s="59"/>
      <c r="R9" s="59"/>
      <c r="S9" s="59"/>
      <c r="T9" s="59"/>
      <c r="U9" s="59"/>
      <c r="V9" s="60"/>
      <c r="W9" s="60"/>
      <c r="X9" s="60"/>
      <c r="Y9" s="60"/>
      <c r="Z9" s="60"/>
      <c r="AA9" s="60"/>
    </row>
    <row r="10" spans="2:27" ht="15.9" x14ac:dyDescent="0.4">
      <c r="B10" s="11" t="s">
        <v>49</v>
      </c>
      <c r="C10" s="11" t="s">
        <v>95</v>
      </c>
      <c r="D10" s="95">
        <v>0</v>
      </c>
      <c r="E10" s="13" t="s">
        <v>108</v>
      </c>
      <c r="F10" s="14" t="s">
        <v>96</v>
      </c>
      <c r="G10" s="14"/>
      <c r="H10" s="14"/>
      <c r="I10" s="14"/>
      <c r="J10" s="14"/>
      <c r="K10" s="14"/>
      <c r="L10" s="14"/>
      <c r="M10" s="14"/>
      <c r="N10" s="14"/>
      <c r="O10" s="14"/>
      <c r="P10" s="15" t="s">
        <v>96</v>
      </c>
      <c r="Q10" s="15"/>
      <c r="R10" s="15"/>
      <c r="S10" s="15"/>
      <c r="T10" s="15"/>
      <c r="U10" s="15"/>
      <c r="V10" s="16"/>
      <c r="W10" s="16"/>
      <c r="X10" s="16"/>
      <c r="Y10" s="16"/>
      <c r="Z10" s="16"/>
      <c r="AA10" s="16"/>
    </row>
    <row r="11" spans="2:27" ht="15.9" x14ac:dyDescent="0.4">
      <c r="B11" s="11" t="s">
        <v>59</v>
      </c>
      <c r="C11" s="11" t="s">
        <v>97</v>
      </c>
      <c r="D11" s="95">
        <v>0</v>
      </c>
      <c r="E11" s="13" t="s">
        <v>109</v>
      </c>
      <c r="F11" s="14"/>
      <c r="G11" s="14" t="s">
        <v>96</v>
      </c>
      <c r="H11" s="14" t="s">
        <v>96</v>
      </c>
      <c r="I11" s="14"/>
      <c r="J11" s="14"/>
      <c r="K11" s="14"/>
      <c r="L11" s="14"/>
      <c r="M11" s="14"/>
      <c r="N11" s="14"/>
      <c r="O11" s="14"/>
      <c r="P11" s="15"/>
      <c r="Q11" s="15" t="s">
        <v>96</v>
      </c>
      <c r="R11" s="15"/>
      <c r="S11" s="15"/>
      <c r="T11" s="15"/>
      <c r="U11" s="15"/>
      <c r="V11" s="16" t="s">
        <v>96</v>
      </c>
      <c r="W11" s="16"/>
      <c r="X11" s="16"/>
      <c r="Y11" s="16"/>
      <c r="Z11" s="16"/>
      <c r="AA11" s="16"/>
    </row>
    <row r="12" spans="2:27" ht="31.75" x14ac:dyDescent="0.4">
      <c r="B12" s="11" t="s">
        <v>98</v>
      </c>
      <c r="C12" s="96" t="s">
        <v>99</v>
      </c>
      <c r="D12" s="97" t="s">
        <v>111</v>
      </c>
      <c r="E12" s="13" t="s">
        <v>110</v>
      </c>
      <c r="F12" s="14"/>
      <c r="G12" s="14" t="s">
        <v>96</v>
      </c>
      <c r="H12" s="14"/>
      <c r="I12" s="14" t="s">
        <v>96</v>
      </c>
      <c r="J12" s="14" t="s">
        <v>96</v>
      </c>
      <c r="K12" s="14"/>
      <c r="L12" s="14"/>
      <c r="M12" s="14"/>
      <c r="N12" s="14"/>
      <c r="O12" s="14"/>
      <c r="P12" s="15"/>
      <c r="Q12" s="15"/>
      <c r="R12" s="15" t="s">
        <v>96</v>
      </c>
      <c r="S12" s="15"/>
      <c r="T12" s="15"/>
      <c r="U12" s="15"/>
      <c r="V12" s="16" t="s">
        <v>96</v>
      </c>
      <c r="W12" s="16"/>
      <c r="X12" s="16"/>
      <c r="Y12" s="16"/>
      <c r="Z12" s="16"/>
      <c r="AA12" s="16"/>
    </row>
    <row r="13" spans="2:27" ht="47.6" x14ac:dyDescent="0.4">
      <c r="B13" s="11" t="s">
        <v>100</v>
      </c>
      <c r="C13" s="11" t="s">
        <v>101</v>
      </c>
      <c r="D13" s="12" t="s">
        <v>112</v>
      </c>
      <c r="E13" s="13" t="s">
        <v>114</v>
      </c>
      <c r="F13" s="14"/>
      <c r="G13" s="14" t="s">
        <v>96</v>
      </c>
      <c r="H13" s="14"/>
      <c r="I13" s="14" t="s">
        <v>96</v>
      </c>
      <c r="J13" s="14"/>
      <c r="K13" s="14" t="s">
        <v>96</v>
      </c>
      <c r="L13" s="14" t="s">
        <v>96</v>
      </c>
      <c r="M13" s="14"/>
      <c r="N13" s="14"/>
      <c r="O13" s="14"/>
      <c r="P13" s="15"/>
      <c r="Q13" s="15"/>
      <c r="R13" s="15"/>
      <c r="S13" s="15" t="s">
        <v>96</v>
      </c>
      <c r="T13" s="15"/>
      <c r="U13" s="15"/>
      <c r="V13" s="16" t="s">
        <v>96</v>
      </c>
      <c r="W13" s="16"/>
      <c r="X13" s="16"/>
      <c r="Y13" s="16"/>
      <c r="Z13" s="16"/>
      <c r="AA13" s="16"/>
    </row>
    <row r="14" spans="2:27" ht="31.75" x14ac:dyDescent="0.4">
      <c r="B14" s="11" t="s">
        <v>102</v>
      </c>
      <c r="C14" s="11" t="s">
        <v>103</v>
      </c>
      <c r="D14" s="12" t="s">
        <v>113</v>
      </c>
      <c r="E14" s="13" t="s">
        <v>115</v>
      </c>
      <c r="F14" s="14"/>
      <c r="G14" s="14" t="s">
        <v>96</v>
      </c>
      <c r="H14" s="14"/>
      <c r="I14" s="14" t="s">
        <v>96</v>
      </c>
      <c r="J14" s="14"/>
      <c r="K14" s="14" t="s">
        <v>96</v>
      </c>
      <c r="L14" s="14"/>
      <c r="M14" s="14" t="s">
        <v>96</v>
      </c>
      <c r="N14" s="14" t="s">
        <v>96</v>
      </c>
      <c r="O14" s="14"/>
      <c r="P14" s="15"/>
      <c r="Q14" s="15"/>
      <c r="R14" s="15"/>
      <c r="S14" s="15"/>
      <c r="T14" s="15" t="s">
        <v>96</v>
      </c>
      <c r="U14" s="15"/>
      <c r="V14" s="16" t="s">
        <v>96</v>
      </c>
      <c r="W14" s="16"/>
      <c r="X14" s="16"/>
      <c r="Y14" s="16"/>
      <c r="Z14" s="16"/>
      <c r="AA14" s="16"/>
    </row>
    <row r="15" spans="2:27" ht="31.75" x14ac:dyDescent="0.4">
      <c r="B15" s="11" t="s">
        <v>104</v>
      </c>
      <c r="C15" s="11" t="s">
        <v>118</v>
      </c>
      <c r="D15" s="95">
        <v>40</v>
      </c>
      <c r="E15" s="13" t="s">
        <v>116</v>
      </c>
      <c r="F15" s="14"/>
      <c r="G15" s="14" t="s">
        <v>96</v>
      </c>
      <c r="H15" s="14" t="s">
        <v>96</v>
      </c>
      <c r="I15" s="14" t="s">
        <v>96</v>
      </c>
      <c r="J15" s="14"/>
      <c r="K15" s="14" t="s">
        <v>96</v>
      </c>
      <c r="L15" s="14"/>
      <c r="M15" s="14" t="s">
        <v>96</v>
      </c>
      <c r="N15" s="14"/>
      <c r="O15" s="14" t="s">
        <v>96</v>
      </c>
      <c r="P15" s="15"/>
      <c r="Q15" s="15"/>
      <c r="R15" s="15"/>
      <c r="S15" s="15"/>
      <c r="T15" s="15"/>
      <c r="U15" s="15" t="s">
        <v>96</v>
      </c>
      <c r="V15" s="16"/>
      <c r="W15" s="16"/>
      <c r="X15" s="16" t="s">
        <v>96</v>
      </c>
      <c r="Y15" s="16"/>
      <c r="Z15" s="16" t="s">
        <v>96</v>
      </c>
      <c r="AA15" s="16"/>
    </row>
    <row r="16" spans="2:27" ht="31.75" x14ac:dyDescent="0.4">
      <c r="B16" s="11" t="s">
        <v>105</v>
      </c>
      <c r="C16" s="11" t="s">
        <v>106</v>
      </c>
      <c r="D16" s="95">
        <v>4</v>
      </c>
      <c r="E16" s="13" t="s">
        <v>116</v>
      </c>
      <c r="F16" s="14"/>
      <c r="G16" s="14" t="s">
        <v>96</v>
      </c>
      <c r="H16" s="14" t="s">
        <v>96</v>
      </c>
      <c r="I16" s="14" t="s">
        <v>96</v>
      </c>
      <c r="J16" s="14"/>
      <c r="K16" s="14" t="s">
        <v>96</v>
      </c>
      <c r="L16" s="14"/>
      <c r="M16" s="14" t="s">
        <v>96</v>
      </c>
      <c r="N16" s="14"/>
      <c r="O16" s="14" t="s">
        <v>96</v>
      </c>
      <c r="P16" s="15"/>
      <c r="Q16" s="15"/>
      <c r="R16" s="15"/>
      <c r="S16" s="15"/>
      <c r="T16" s="15"/>
      <c r="U16" s="15" t="s">
        <v>96</v>
      </c>
      <c r="V16" s="16"/>
      <c r="W16" s="16" t="s">
        <v>96</v>
      </c>
      <c r="X16" s="16"/>
      <c r="Y16" s="16"/>
      <c r="Z16" s="16" t="s">
        <v>96</v>
      </c>
      <c r="AA16" s="16"/>
    </row>
    <row r="17" spans="2:27" ht="31.75" x14ac:dyDescent="0.4">
      <c r="B17" s="11" t="s">
        <v>107</v>
      </c>
      <c r="C17" s="11" t="s">
        <v>119</v>
      </c>
      <c r="D17" s="12" t="s">
        <v>113</v>
      </c>
      <c r="E17" s="13" t="s">
        <v>117</v>
      </c>
      <c r="F17" s="14"/>
      <c r="G17" s="14" t="s">
        <v>96</v>
      </c>
      <c r="H17" s="14" t="s">
        <v>96</v>
      </c>
      <c r="I17" s="14" t="s">
        <v>96</v>
      </c>
      <c r="J17" s="14"/>
      <c r="K17" s="14" t="s">
        <v>96</v>
      </c>
      <c r="L17" s="14"/>
      <c r="M17" s="14" t="s">
        <v>96</v>
      </c>
      <c r="N17" s="14" t="s">
        <v>96</v>
      </c>
      <c r="O17" s="14" t="s">
        <v>96</v>
      </c>
      <c r="P17" s="15"/>
      <c r="Q17" s="15"/>
      <c r="R17" s="15"/>
      <c r="S17" s="15"/>
      <c r="T17" s="15" t="s">
        <v>96</v>
      </c>
      <c r="U17" s="15" t="s">
        <v>96</v>
      </c>
      <c r="V17" s="16"/>
      <c r="W17" s="16"/>
      <c r="X17" s="16"/>
      <c r="Y17" s="16" t="s">
        <v>96</v>
      </c>
      <c r="Z17" s="16"/>
      <c r="AA17" s="16" t="s">
        <v>96</v>
      </c>
    </row>
  </sheetData>
  <mergeCells count="29">
    <mergeCell ref="E6:AA6"/>
    <mergeCell ref="V7:AA7"/>
    <mergeCell ref="D1:G1"/>
    <mergeCell ref="B3:F3"/>
    <mergeCell ref="B6:B9"/>
    <mergeCell ref="C6:C7"/>
    <mergeCell ref="D6:D7"/>
    <mergeCell ref="Z8:Z9"/>
    <mergeCell ref="U8:U9"/>
    <mergeCell ref="D8:D9"/>
    <mergeCell ref="F8:G8"/>
    <mergeCell ref="W8:W9"/>
    <mergeCell ref="X8:X9"/>
    <mergeCell ref="Y8:Y9"/>
    <mergeCell ref="T8:T9"/>
    <mergeCell ref="AA8:AA9"/>
    <mergeCell ref="H8:I8"/>
    <mergeCell ref="J8:K8"/>
    <mergeCell ref="L8:M8"/>
    <mergeCell ref="V8:V9"/>
    <mergeCell ref="P8:P9"/>
    <mergeCell ref="Q8:Q9"/>
    <mergeCell ref="R8:R9"/>
    <mergeCell ref="S8:S9"/>
    <mergeCell ref="C8:C9"/>
    <mergeCell ref="N8:O8"/>
    <mergeCell ref="E7:E9"/>
    <mergeCell ref="F7:O7"/>
    <mergeCell ref="P7:U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9"/>
  <sheetViews>
    <sheetView zoomScaleNormal="100" workbookViewId="0">
      <selection activeCell="F22" sqref="F22"/>
    </sheetView>
  </sheetViews>
  <sheetFormatPr defaultColWidth="8.84375" defaultRowHeight="14.6" x14ac:dyDescent="0.4"/>
  <cols>
    <col min="3" max="3" width="7.15234375" bestFit="1" customWidth="1"/>
    <col min="4" max="4" width="11.3046875" bestFit="1" customWidth="1"/>
    <col min="5" max="5" width="35.53515625" customWidth="1"/>
    <col min="6" max="6" width="44.69140625" customWidth="1"/>
    <col min="7" max="7" width="23.84375" customWidth="1"/>
    <col min="8" max="8" width="10" bestFit="1" customWidth="1"/>
    <col min="10" max="10" width="7.15234375" bestFit="1" customWidth="1"/>
    <col min="11" max="11" width="10.15234375" bestFit="1" customWidth="1"/>
    <col min="12" max="12" width="10.15234375" customWidth="1"/>
    <col min="13" max="13" width="16.15234375" bestFit="1" customWidth="1"/>
    <col min="15" max="15" width="12.3046875" customWidth="1"/>
    <col min="16" max="21" width="8.84375" customWidth="1"/>
  </cols>
  <sheetData>
    <row r="1" spans="2:14" x14ac:dyDescent="0.4">
      <c r="B1" s="9"/>
      <c r="D1" s="36" t="s">
        <v>0</v>
      </c>
      <c r="E1" s="37"/>
      <c r="F1" s="37"/>
      <c r="G1" s="38"/>
    </row>
    <row r="3" spans="2:14" x14ac:dyDescent="0.4">
      <c r="B3" s="108" t="s">
        <v>50</v>
      </c>
      <c r="C3" s="109"/>
      <c r="D3" s="109"/>
      <c r="E3" s="109"/>
      <c r="F3" s="109"/>
      <c r="G3" s="110"/>
    </row>
    <row r="4" spans="2:14" ht="14.6" customHeight="1" x14ac:dyDescent="0.4">
      <c r="B4" s="84" t="s">
        <v>51</v>
      </c>
      <c r="C4" s="79" t="s">
        <v>52</v>
      </c>
      <c r="D4" s="91" t="s">
        <v>53</v>
      </c>
      <c r="E4" s="104" t="s">
        <v>54</v>
      </c>
      <c r="F4" s="86" t="s">
        <v>55</v>
      </c>
      <c r="G4" s="87"/>
    </row>
    <row r="5" spans="2:14" ht="15" thickBot="1" x14ac:dyDescent="0.45">
      <c r="B5" s="85"/>
      <c r="C5" s="90"/>
      <c r="D5" s="92"/>
      <c r="E5" s="2" t="s">
        <v>125</v>
      </c>
      <c r="F5" s="2" t="s">
        <v>56</v>
      </c>
      <c r="G5" s="2" t="s">
        <v>57</v>
      </c>
    </row>
    <row r="6" spans="2:14" ht="16.3" thickTop="1" x14ac:dyDescent="0.4">
      <c r="B6" s="17">
        <v>9</v>
      </c>
      <c r="C6" s="107" t="s">
        <v>58</v>
      </c>
      <c r="D6" s="35" t="s">
        <v>49</v>
      </c>
      <c r="E6" s="105" t="s">
        <v>95</v>
      </c>
      <c r="F6" s="106" t="s">
        <v>126</v>
      </c>
      <c r="G6" s="106" t="s">
        <v>126</v>
      </c>
    </row>
    <row r="7" spans="2:14" ht="15.9" x14ac:dyDescent="0.4">
      <c r="B7" s="17">
        <v>10</v>
      </c>
      <c r="C7" s="88"/>
      <c r="D7" s="35" t="s">
        <v>59</v>
      </c>
      <c r="E7" s="105" t="s">
        <v>97</v>
      </c>
      <c r="F7" s="106" t="s">
        <v>126</v>
      </c>
      <c r="G7" s="106" t="s">
        <v>126</v>
      </c>
    </row>
    <row r="8" spans="2:14" ht="31.75" x14ac:dyDescent="0.4">
      <c r="B8" s="17">
        <v>11</v>
      </c>
      <c r="C8" s="88"/>
      <c r="D8" s="35" t="s">
        <v>98</v>
      </c>
      <c r="E8" s="105" t="s">
        <v>99</v>
      </c>
      <c r="F8" s="97" t="s">
        <v>111</v>
      </c>
      <c r="G8" s="97" t="s">
        <v>111</v>
      </c>
    </row>
    <row r="9" spans="2:14" ht="31.75" x14ac:dyDescent="0.4">
      <c r="B9" s="17">
        <v>12</v>
      </c>
      <c r="C9" s="88"/>
      <c r="D9" s="35" t="s">
        <v>100</v>
      </c>
      <c r="E9" s="105" t="s">
        <v>101</v>
      </c>
      <c r="F9" s="12" t="s">
        <v>112</v>
      </c>
      <c r="G9" s="12" t="s">
        <v>112</v>
      </c>
    </row>
    <row r="10" spans="2:14" ht="32.15" thickBot="1" x14ac:dyDescent="0.45">
      <c r="B10" s="2">
        <v>13</v>
      </c>
      <c r="C10" s="88"/>
      <c r="D10" s="35" t="s">
        <v>102</v>
      </c>
      <c r="E10" s="105" t="s">
        <v>103</v>
      </c>
      <c r="F10" s="12" t="s">
        <v>113</v>
      </c>
      <c r="G10" s="12" t="s">
        <v>113</v>
      </c>
    </row>
    <row r="11" spans="2:14" ht="16.75" thickTop="1" thickBot="1" x14ac:dyDescent="0.45">
      <c r="B11" s="2">
        <v>14</v>
      </c>
      <c r="C11" s="88"/>
      <c r="D11" s="35" t="s">
        <v>104</v>
      </c>
      <c r="E11" s="105" t="s">
        <v>118</v>
      </c>
      <c r="F11" s="106" t="s">
        <v>127</v>
      </c>
      <c r="G11" s="106" t="s">
        <v>127</v>
      </c>
    </row>
    <row r="12" spans="2:14" ht="32.6" thickTop="1" thickBot="1" x14ac:dyDescent="0.45">
      <c r="B12" s="2">
        <v>15</v>
      </c>
      <c r="C12" s="88"/>
      <c r="D12" s="35" t="s">
        <v>105</v>
      </c>
      <c r="E12" s="105" t="s">
        <v>106</v>
      </c>
      <c r="F12" s="106" t="s">
        <v>128</v>
      </c>
      <c r="G12" s="106" t="s">
        <v>128</v>
      </c>
    </row>
    <row r="13" spans="2:14" ht="32.6" thickTop="1" thickBot="1" x14ac:dyDescent="0.45">
      <c r="B13" s="2">
        <v>16</v>
      </c>
      <c r="C13" s="89"/>
      <c r="D13" s="35" t="s">
        <v>107</v>
      </c>
      <c r="E13" s="105" t="s">
        <v>129</v>
      </c>
      <c r="F13" s="12" t="s">
        <v>113</v>
      </c>
      <c r="G13" s="12" t="s">
        <v>113</v>
      </c>
    </row>
    <row r="14" spans="2:14" ht="15" thickTop="1" x14ac:dyDescent="0.4"/>
    <row r="15" spans="2:14" ht="15" thickBot="1" x14ac:dyDescent="0.45">
      <c r="B15" s="3" t="s">
        <v>60</v>
      </c>
      <c r="K15" s="18"/>
    </row>
    <row r="16" spans="2:14" ht="15.45" thickTop="1" thickBot="1" x14ac:dyDescent="0.45">
      <c r="B16" s="65" t="s">
        <v>61</v>
      </c>
      <c r="C16" s="66"/>
      <c r="D16" s="66"/>
      <c r="E16" s="66"/>
      <c r="F16" s="93" t="s">
        <v>62</v>
      </c>
      <c r="G16" s="94"/>
      <c r="H16" s="65" t="s">
        <v>63</v>
      </c>
      <c r="I16" s="66"/>
      <c r="J16" s="66"/>
      <c r="K16" s="66"/>
      <c r="L16" s="67"/>
      <c r="M16" s="72" t="s">
        <v>64</v>
      </c>
      <c r="N16" s="73"/>
    </row>
    <row r="17" spans="2:14" ht="15" thickTop="1" x14ac:dyDescent="0.4">
      <c r="B17" s="115" t="s">
        <v>65</v>
      </c>
      <c r="C17" s="114" t="s">
        <v>66</v>
      </c>
      <c r="D17" s="114" t="s">
        <v>67</v>
      </c>
      <c r="E17" s="76" t="s">
        <v>68</v>
      </c>
      <c r="F17" s="113" t="s">
        <v>69</v>
      </c>
      <c r="G17" s="111" t="s">
        <v>70</v>
      </c>
      <c r="H17" s="80" t="s">
        <v>71</v>
      </c>
      <c r="I17" s="74" t="s">
        <v>65</v>
      </c>
      <c r="J17" s="74" t="s">
        <v>66</v>
      </c>
      <c r="K17" s="82" t="s">
        <v>72</v>
      </c>
      <c r="L17" s="68" t="s">
        <v>73</v>
      </c>
      <c r="M17" s="70" t="s">
        <v>74</v>
      </c>
      <c r="N17" s="79" t="s">
        <v>75</v>
      </c>
    </row>
    <row r="18" spans="2:14" x14ac:dyDescent="0.4">
      <c r="B18" s="71"/>
      <c r="C18" s="74"/>
      <c r="D18" s="74"/>
      <c r="E18" s="77"/>
      <c r="F18" s="78"/>
      <c r="G18" s="112"/>
      <c r="H18" s="81"/>
      <c r="I18" s="75"/>
      <c r="J18" s="75"/>
      <c r="K18" s="83"/>
      <c r="L18" s="69"/>
      <c r="M18" s="71"/>
      <c r="N18" s="78"/>
    </row>
    <row r="19" spans="2:14" x14ac:dyDescent="0.4">
      <c r="B19" s="21">
        <f>SUM(C19:D19)</f>
        <v>8</v>
      </c>
      <c r="C19" s="19">
        <v>8</v>
      </c>
      <c r="D19" s="19">
        <v>0</v>
      </c>
      <c r="E19" s="116">
        <v>1</v>
      </c>
      <c r="F19" s="20" t="s">
        <v>76</v>
      </c>
      <c r="G19" s="7" t="s">
        <v>76</v>
      </c>
      <c r="H19" s="6" t="s">
        <v>76</v>
      </c>
      <c r="I19" s="21">
        <f>SUM(J19:K19)</f>
        <v>0</v>
      </c>
      <c r="J19" s="19">
        <v>0</v>
      </c>
      <c r="K19" s="22">
        <v>0</v>
      </c>
      <c r="L19" s="23"/>
      <c r="M19" s="5" t="s">
        <v>76</v>
      </c>
      <c r="N19" s="24">
        <f>C19</f>
        <v>8</v>
      </c>
    </row>
  </sheetData>
  <mergeCells count="24">
    <mergeCell ref="B3:G3"/>
    <mergeCell ref="C4:C5"/>
    <mergeCell ref="B4:B5"/>
    <mergeCell ref="C6:C13"/>
    <mergeCell ref="F4:G4"/>
    <mergeCell ref="D4:D5"/>
    <mergeCell ref="F16:G16"/>
    <mergeCell ref="D1:G1"/>
    <mergeCell ref="H16:L16"/>
    <mergeCell ref="L17:L18"/>
    <mergeCell ref="M17:M18"/>
    <mergeCell ref="M16:N16"/>
    <mergeCell ref="B17:B18"/>
    <mergeCell ref="C17:C18"/>
    <mergeCell ref="D17:D18"/>
    <mergeCell ref="E17:E18"/>
    <mergeCell ref="F17:F18"/>
    <mergeCell ref="G17:G18"/>
    <mergeCell ref="N17:N18"/>
    <mergeCell ref="H17:H18"/>
    <mergeCell ref="I17:I18"/>
    <mergeCell ref="K17:K18"/>
    <mergeCell ref="J17:J18"/>
    <mergeCell ref="B16:E16"/>
  </mergeCells>
  <phoneticPr fontId="1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2026-05-02T12:06:27Z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