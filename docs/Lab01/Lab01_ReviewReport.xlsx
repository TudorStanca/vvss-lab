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se\OneDrive\Desktop\Facultate\SEM_VI\VVSS\docs\Lab01\"/>
    </mc:Choice>
  </mc:AlternateContent>
  <xr:revisionPtr revIDLastSave="0" documentId="13_ncr:1_{5DF6A869-0031-4A41-96CF-EE863629701E}" xr6:coauthVersionLast="47" xr6:coauthVersionMax="47" xr10:uidLastSave="{00000000-0000-0000-0000-000000000000}"/>
  <bookViews>
    <workbookView xWindow="-108" yWindow="-108" windowWidth="23256" windowHeight="12456" tabRatio="650" activeTab="3" xr2:uid="{00000000-000D-0000-FFFF-FFFF00000000}"/>
  </bookViews>
  <sheets>
    <sheet name="Requirements Phase Defects" sheetId="7" r:id="rId1"/>
    <sheet name="Architect. Design Phase Defects" sheetId="6" r:id="rId2"/>
    <sheet name="Coding Phase Defects" sheetId="5" r:id="rId3"/>
    <sheet name="Tool-basedCodeAnalysis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5" l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11" i="8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11" i="7" l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11" i="6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</calcChain>
</file>

<file path=xl/sharedStrings.xml><?xml version="1.0" encoding="utf-8"?>
<sst xmlns="http://schemas.openxmlformats.org/spreadsheetml/2006/main" count="174" uniqueCount="115">
  <si>
    <t>Document  Title:</t>
  </si>
  <si>
    <t xml:space="preserve">Review date: </t>
  </si>
  <si>
    <t>Reviewer Name:</t>
  </si>
  <si>
    <t>do not print this form</t>
  </si>
  <si>
    <t>Crt. No.</t>
  </si>
  <si>
    <t>Checked Item</t>
  </si>
  <si>
    <t>Doc. page/line</t>
  </si>
  <si>
    <t>Comments/ improvements</t>
  </si>
  <si>
    <t>Effort to review document (hours):</t>
  </si>
  <si>
    <t>Author Name:</t>
  </si>
  <si>
    <t xml:space="preserve">Author Name: </t>
  </si>
  <si>
    <t>Popescu Ionel</t>
  </si>
  <si>
    <t>Georgescu Anca</t>
  </si>
  <si>
    <t>Firicescu George</t>
  </si>
  <si>
    <t>Requirements Document</t>
  </si>
  <si>
    <t>Architectural Design Document</t>
  </si>
  <si>
    <t>Coding Document</t>
  </si>
  <si>
    <t>Review Form. Coding Defects</t>
  </si>
  <si>
    <t>Review Form. Architectural Design Defects</t>
  </si>
  <si>
    <t>Review Form. Requirements Defects</t>
  </si>
  <si>
    <t>Student 1:</t>
  </si>
  <si>
    <t>Student 2:</t>
  </si>
  <si>
    <t>Student 3:</t>
  </si>
  <si>
    <t>Echipa</t>
  </si>
  <si>
    <t>Grupa</t>
  </si>
  <si>
    <t>Tool used:</t>
  </si>
  <si>
    <t>Before</t>
  </si>
  <si>
    <t>Issue</t>
  </si>
  <si>
    <t>File, Line</t>
  </si>
  <si>
    <t>After/Argument</t>
  </si>
  <si>
    <t>Numele si prenumele</t>
  </si>
  <si>
    <t>Tool-based Code Analysis</t>
  </si>
  <si>
    <t>Effort to perform tool-based code analysis (hours):</t>
  </si>
  <si>
    <t>Secure George-Sebastian</t>
  </si>
  <si>
    <t>Stanca Vlad Tudor</t>
  </si>
  <si>
    <t>C01</t>
  </si>
  <si>
    <t>C04</t>
  </si>
  <si>
    <t>C06</t>
  </si>
  <si>
    <t>C07</t>
  </si>
  <si>
    <t>C08</t>
  </si>
  <si>
    <t>C09</t>
  </si>
  <si>
    <t>Prelucrarea datelor trebuie făcută în service/repository, nu în controller</t>
  </si>
  <si>
    <t>DrinkShopApp 21-24</t>
  </si>
  <si>
    <t xml:space="preserve">DrinkShopApp </t>
  </si>
  <si>
    <t>Nu se gestionează erorile - "throws Exception"</t>
  </si>
  <si>
    <t>La update se inserează toți parametri obiectului în loc de o instanța lui (=&gt; updateProduct(prod) )</t>
  </si>
  <si>
    <t>Toate Service-urile</t>
  </si>
  <si>
    <t>La metodele de Add și Update nu sunt apelați validatorii</t>
  </si>
  <si>
    <t>ProductService 21
DrinkShopService 38</t>
  </si>
  <si>
    <t>DrinkShopService 23</t>
  </si>
  <si>
    <t>Repository&lt;Integer,Stoc&gt; stocService =&gt; stocRepo</t>
  </si>
  <si>
    <t>RetetaValidator 14</t>
  </si>
  <si>
    <t>.get(0) poate arunca IndexOutOfBoundsException</t>
  </si>
  <si>
    <t>ReceiptGenerator
CsvExporter</t>
  </si>
  <si>
    <t>C11</t>
  </si>
  <si>
    <t>Repository-uri</t>
  </si>
  <si>
    <t>Service-uri/Repository-uri</t>
  </si>
  <si>
    <t>Nu se verifică dacă operațiile din fișiere se execută corect - nu se gestionează erorile IO. Nu se verifică existența duplicatelor</t>
  </si>
  <si>
    <t>Metodă ineficientă - există deja implementare a metodei utilizate</t>
  </si>
  <si>
    <t>Nu se verifică dacă repository-urile sunt create corect. Problemă ce apare din cauza căilor relative ale fișierelor -</t>
  </si>
  <si>
    <t>Nu se verifică dacă datele de intrare sunt valide în metoda extractEntity</t>
  </si>
  <si>
    <t>De ce se folosește AtomicReference și nu String/StringBuilder?</t>
  </si>
  <si>
    <t>Metodă ineficientă. Poți lua Product din OrderItem și nu prin stream</t>
  </si>
  <si>
    <t>R01</t>
  </si>
  <si>
    <t>R02</t>
  </si>
  <si>
    <t>R06</t>
  </si>
  <si>
    <t>R07</t>
  </si>
  <si>
    <t>Cerinte functionale</t>
  </si>
  <si>
    <t>Nu este specificat ce este un "tip" si ce este o "categorie" pentru fiecare bautura. Cum va fi reprezentat in cod? Enum? String?</t>
  </si>
  <si>
    <t>Nu este mentionat nicaieri pretul unui produs, cum este setat, ce tip are</t>
  </si>
  <si>
    <t>Nu este specificat nicaieri cat de mare trebuie sa fie aceasta aplicatie, cati utilizatori trebuie sa suporte simultan</t>
  </si>
  <si>
    <t>Nu este specificat modalitatea de reprezentare a datelor in fisier. Trebuie sa fie citibile de care un om sau ajunge sa fie intelese doar de catre masina?</t>
  </si>
  <si>
    <t>30 min</t>
  </si>
  <si>
    <t>La finalul unei zile nu este specificat modul de salvare a informatiilor despre comenzile inregistrate: manual sau automat</t>
  </si>
  <si>
    <t>A01</t>
  </si>
  <si>
    <t>A03</t>
  </si>
  <si>
    <t>A05</t>
  </si>
  <si>
    <t>DrinkShopService primeste in constructor repository-uri, cand el ar trebui sa primeasca service-urile create din exterior, conform Dependency Injection</t>
  </si>
  <si>
    <t>A10</t>
  </si>
  <si>
    <t>Nu exista nicio legatura intre reteta si produse, o reteta ar trebui sa tina de / sa depinda de un produs existent</t>
  </si>
  <si>
    <t>Nu este clar din diagrama care este legatura validatorilor cu restul claselor din proiect</t>
  </si>
  <si>
    <t>Nu este deloc clar, lipseste implementarea functionalitatii 3, cea de adaugare, modificare si stergere a tipului si categoriei de bautura</t>
  </si>
  <si>
    <t>SonarQube</t>
  </si>
  <si>
    <t>CsvExporter 14</t>
  </si>
  <si>
    <t>"Add a private constructor to hide the implicit public one"</t>
  </si>
  <si>
    <t>CsvExporter 20</t>
  </si>
  <si>
    <t>class CsvExporter { // Noncompliant
…
}</t>
  </si>
  <si>
    <t>class CsvExporter { // Compliant
  private CsvExporter() {
    /* This utility class should not be instantiated */
  }</t>
  </si>
  <si>
    <t>public static void exportOrders(List&lt;Product&gt; products, List&lt;Order&gt; orders, String path)</t>
  </si>
  <si>
    <t>public static void exportOrders(List&lt;Order&gt; orders, String path)</t>
  </si>
  <si>
    <t>CsvExporter 39</t>
  </si>
  <si>
    <t>catch (IOException e) {
            throw new RuntimeException(e);
        }</t>
  </si>
  <si>
    <t>catch (IOException e) {
            throw new CsvExportException(e);
        }</t>
  </si>
  <si>
    <t>FileAbstractRepository 12</t>
  </si>
  <si>
    <t>public FileAbstractRepository(String fileName)</t>
  </si>
  <si>
    <t>protected FileAbstractRepository(String fileName)</t>
  </si>
  <si>
    <t xml:space="preserve"> //loadFromFile();</t>
  </si>
  <si>
    <t>FileAbstractRepository 14</t>
  </si>
  <si>
    <t>FileAbstractRepository 7</t>
  </si>
  <si>
    <t>"Unused method parameters should be removed"</t>
  </si>
  <si>
    <t>"Generic exceptions should never be thrown"</t>
  </si>
  <si>
    <t>"Constructors of an "abstract" class should not be declared "public""</t>
  </si>
  <si>
    <t>"Sections of code should not be commented out"</t>
  </si>
  <si>
    <t>"Type parameter names should comply with a naming convention"</t>
  </si>
  <si>
    <t>"ID" este mai ușor de înțeles, decât doar "I"</t>
  </si>
  <si>
    <t>"Lambdas containing only one statement should not nest this statement in a block"</t>
  </si>
  <si>
    <t>RetetaValidator 27-29</t>
  </si>
  <si>
    <t>.forEach(entry -&gt; {          errors.append("[").append(entry.getDenumire()).append("]").append("cantitate negativa sau zero").append("\n");
                });</t>
  </si>
  <si>
    <t>.forEach(entry -&gt;
errors.append("[").append(entry.getDenumire()).append("]").append("cantitate negativa sau zero").append("\n"));</t>
  </si>
  <si>
    <t>"Unused "private" fields should be removed"</t>
  </si>
  <si>
    <t>OrderService 14</t>
  </si>
  <si>
    <t xml:space="preserve">    private final Repository&lt;Integer, Product&gt; productRepo;</t>
  </si>
  <si>
    <t>Requirements_MyDrinkShop.png</t>
  </si>
  <si>
    <t>DrinkShopController 123</t>
  </si>
  <si>
    <t>OrderService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</si>
</sst>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i/>
      <sz val="9"/>
      <color theme="1"/>
      <name val="Consolas"/>
      <family val="3"/>
      <charset val="23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5" fillId="0" borderId="1" xfId="0" applyFont="1" applyBorder="1"/>
    <xf numFmtId="0" fontId="8" fillId="0" borderId="0" xfId="0" applyFont="1"/>
    <xf numFmtId="0" fontId="9" fillId="0" borderId="0" xfId="0" applyFont="1"/>
    <xf numFmtId="0" fontId="5" fillId="0" borderId="0" xfId="0" applyFont="1"/>
    <xf numFmtId="0" fontId="6" fillId="3" borderId="1" xfId="0" applyFont="1" applyFill="1" applyBorder="1"/>
    <xf numFmtId="0" fontId="6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6" fillId="2" borderId="1" xfId="0" applyFont="1" applyFill="1" applyBorder="1"/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wrapText="1"/>
    </xf>
    <xf numFmtId="0" fontId="6" fillId="4" borderId="1" xfId="0" applyFont="1" applyFill="1" applyBorder="1"/>
    <xf numFmtId="0" fontId="4" fillId="0" borderId="1" xfId="0" applyFont="1" applyBorder="1"/>
    <xf numFmtId="0" fontId="7" fillId="0" borderId="0" xfId="0" applyFont="1"/>
    <xf numFmtId="0" fontId="3" fillId="0" borderId="1" xfId="0" applyFont="1" applyBorder="1"/>
    <xf numFmtId="0" fontId="2" fillId="0" borderId="0" xfId="0" applyFont="1"/>
    <xf numFmtId="0" fontId="1" fillId="0" borderId="0" xfId="0" applyFont="1"/>
    <xf numFmtId="0" fontId="6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16" fontId="7" fillId="0" borderId="1" xfId="0" applyNumberFormat="1" applyFont="1" applyBorder="1"/>
    <xf numFmtId="0" fontId="12" fillId="0" borderId="1" xfId="0" applyFont="1" applyBorder="1" applyAlignment="1">
      <alignment horizontal="left" vertical="top" wrapText="1"/>
    </xf>
    <xf numFmtId="14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10" fillId="2" borderId="2" xfId="0" applyFont="1" applyFill="1" applyBorder="1" applyAlignment="1">
      <alignment horizontal="right"/>
    </xf>
    <xf numFmtId="0" fontId="10" fillId="2" borderId="4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10" fillId="3" borderId="2" xfId="0" applyFont="1" applyFill="1" applyBorder="1" applyAlignment="1">
      <alignment horizontal="right"/>
    </xf>
    <xf numFmtId="0" fontId="10" fillId="3" borderId="4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0" fontId="10" fillId="4" borderId="2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59999389629810485"/>
  </sheetPr>
  <dimension ref="A1:J27"/>
  <sheetViews>
    <sheetView workbookViewId="0">
      <selection activeCell="E14" sqref="E14"/>
    </sheetView>
  </sheetViews>
  <sheetFormatPr defaultColWidth="8.88671875" defaultRowHeight="14.4" x14ac:dyDescent="0.3"/>
  <cols>
    <col min="1" max="1" width="8.88671875" style="6"/>
    <col min="2" max="2" width="12.33203125" style="6" customWidth="1"/>
    <col min="3" max="3" width="16.33203125" style="6" customWidth="1"/>
    <col min="4" max="4" width="18.33203125" style="6" bestFit="1" customWidth="1"/>
    <col min="5" max="5" width="41.44140625" style="6" customWidth="1"/>
    <col min="6" max="8" width="8.88671875" style="6"/>
    <col min="9" max="9" width="21" style="6" customWidth="1"/>
    <col min="10" max="10" width="14.44140625" style="6" customWidth="1"/>
    <col min="11" max="16384" width="8.88671875" style="6"/>
  </cols>
  <sheetData>
    <row r="1" spans="1:10" ht="15.6" x14ac:dyDescent="0.3">
      <c r="A1" s="4"/>
      <c r="B1" s="5" t="s">
        <v>3</v>
      </c>
      <c r="H1" s="33" t="s">
        <v>23</v>
      </c>
      <c r="I1" s="33"/>
      <c r="J1" s="33"/>
    </row>
    <row r="2" spans="1:10" x14ac:dyDescent="0.3">
      <c r="B2" s="34" t="s">
        <v>19</v>
      </c>
      <c r="C2" s="34"/>
      <c r="D2" s="34"/>
      <c r="E2" s="34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22" t="s">
        <v>33</v>
      </c>
      <c r="J3" s="9">
        <v>236</v>
      </c>
    </row>
    <row r="4" spans="1:10" x14ac:dyDescent="0.3">
      <c r="C4" s="13" t="s">
        <v>0</v>
      </c>
      <c r="D4" s="35" t="s">
        <v>14</v>
      </c>
      <c r="E4" s="35"/>
      <c r="H4" s="17" t="s">
        <v>21</v>
      </c>
      <c r="I4" s="23" t="s">
        <v>34</v>
      </c>
      <c r="J4" s="9">
        <v>236</v>
      </c>
    </row>
    <row r="5" spans="1:10" x14ac:dyDescent="0.3">
      <c r="C5" s="13" t="s">
        <v>9</v>
      </c>
      <c r="D5" s="36" t="s">
        <v>13</v>
      </c>
      <c r="E5" s="37"/>
      <c r="H5" s="17" t="s">
        <v>22</v>
      </c>
      <c r="I5" s="3"/>
      <c r="J5" s="3"/>
    </row>
    <row r="6" spans="1:10" x14ac:dyDescent="0.3">
      <c r="B6" s="8"/>
      <c r="C6" s="9" t="s">
        <v>2</v>
      </c>
      <c r="D6" s="32" t="s">
        <v>34</v>
      </c>
      <c r="E6" s="32"/>
    </row>
    <row r="7" spans="1:10" x14ac:dyDescent="0.3">
      <c r="C7" s="9" t="s">
        <v>1</v>
      </c>
      <c r="D7" s="31">
        <v>46091</v>
      </c>
      <c r="E7" s="32"/>
    </row>
    <row r="9" spans="1:10" x14ac:dyDescent="0.3">
      <c r="B9" s="10" t="s">
        <v>4</v>
      </c>
      <c r="C9" s="10" t="s">
        <v>5</v>
      </c>
      <c r="D9" s="10" t="s">
        <v>6</v>
      </c>
      <c r="E9" s="14" t="s">
        <v>7</v>
      </c>
    </row>
    <row r="10" spans="1:10" ht="43.2" x14ac:dyDescent="0.3">
      <c r="B10" s="3">
        <v>1</v>
      </c>
      <c r="C10" s="1" t="s">
        <v>63</v>
      </c>
      <c r="D10" s="1" t="s">
        <v>67</v>
      </c>
      <c r="E10" s="2" t="s">
        <v>68</v>
      </c>
    </row>
    <row r="11" spans="1:10" ht="28.8" x14ac:dyDescent="0.3">
      <c r="B11" s="3">
        <f>B10+1</f>
        <v>2</v>
      </c>
      <c r="C11" s="1" t="s">
        <v>64</v>
      </c>
      <c r="D11" s="1"/>
      <c r="E11" s="2" t="s">
        <v>69</v>
      </c>
    </row>
    <row r="12" spans="1:10" ht="43.2" x14ac:dyDescent="0.3">
      <c r="B12" s="3">
        <f t="shared" ref="B12:B25" si="0">B11+1</f>
        <v>3</v>
      </c>
      <c r="C12" s="1" t="s">
        <v>65</v>
      </c>
      <c r="D12" s="1"/>
      <c r="E12" s="2" t="s">
        <v>70</v>
      </c>
    </row>
    <row r="13" spans="1:10" ht="57.6" x14ac:dyDescent="0.3">
      <c r="B13" s="3">
        <f t="shared" si="0"/>
        <v>4</v>
      </c>
      <c r="C13" s="1" t="s">
        <v>66</v>
      </c>
      <c r="D13" s="1"/>
      <c r="E13" s="2" t="s">
        <v>71</v>
      </c>
    </row>
    <row r="14" spans="1:10" ht="43.2" x14ac:dyDescent="0.3">
      <c r="B14" s="3">
        <f t="shared" si="0"/>
        <v>5</v>
      </c>
      <c r="C14" s="1" t="s">
        <v>63</v>
      </c>
      <c r="D14" s="1"/>
      <c r="E14" s="2" t="s">
        <v>73</v>
      </c>
    </row>
    <row r="15" spans="1:10" x14ac:dyDescent="0.3">
      <c r="B15" s="3">
        <f t="shared" si="0"/>
        <v>6</v>
      </c>
      <c r="C15" s="1"/>
      <c r="D15" s="1"/>
      <c r="E15" s="2"/>
    </row>
    <row r="16" spans="1:10" x14ac:dyDescent="0.3">
      <c r="B16" s="3">
        <f t="shared" si="0"/>
        <v>7</v>
      </c>
      <c r="C16" s="1"/>
      <c r="D16" s="1"/>
      <c r="E16" s="2"/>
    </row>
    <row r="17" spans="2:5" x14ac:dyDescent="0.3">
      <c r="B17" s="3">
        <f t="shared" si="0"/>
        <v>8</v>
      </c>
      <c r="C17" s="1"/>
      <c r="D17" s="1"/>
      <c r="E17" s="2"/>
    </row>
    <row r="18" spans="2:5" x14ac:dyDescent="0.3">
      <c r="B18" s="3">
        <f t="shared" si="0"/>
        <v>9</v>
      </c>
      <c r="C18" s="3"/>
      <c r="D18" s="3"/>
      <c r="E18" s="15"/>
    </row>
    <row r="19" spans="2:5" x14ac:dyDescent="0.3">
      <c r="B19" s="3">
        <f t="shared" si="0"/>
        <v>10</v>
      </c>
      <c r="C19" s="3"/>
      <c r="D19" s="3"/>
      <c r="E19" s="15"/>
    </row>
    <row r="20" spans="2:5" x14ac:dyDescent="0.3">
      <c r="B20" s="3">
        <f t="shared" si="0"/>
        <v>11</v>
      </c>
      <c r="C20" s="3"/>
      <c r="D20" s="3"/>
      <c r="E20" s="15"/>
    </row>
    <row r="21" spans="2:5" x14ac:dyDescent="0.3">
      <c r="B21" s="3">
        <f t="shared" si="0"/>
        <v>12</v>
      </c>
      <c r="C21" s="3"/>
      <c r="D21" s="3"/>
      <c r="E21" s="15"/>
    </row>
    <row r="22" spans="2:5" x14ac:dyDescent="0.3">
      <c r="B22" s="3">
        <f t="shared" si="0"/>
        <v>13</v>
      </c>
      <c r="C22" s="3"/>
      <c r="D22" s="3"/>
      <c r="E22" s="15"/>
    </row>
    <row r="23" spans="2:5" x14ac:dyDescent="0.3">
      <c r="B23" s="3">
        <f t="shared" si="0"/>
        <v>14</v>
      </c>
      <c r="C23" s="3"/>
      <c r="D23" s="3"/>
      <c r="E23" s="15"/>
    </row>
    <row r="24" spans="2:5" x14ac:dyDescent="0.3">
      <c r="B24" s="3">
        <f t="shared" si="0"/>
        <v>15</v>
      </c>
      <c r="C24" s="3"/>
      <c r="D24" s="3"/>
      <c r="E24" s="15"/>
    </row>
    <row r="25" spans="2:5" x14ac:dyDescent="0.3">
      <c r="B25" s="3">
        <f t="shared" si="0"/>
        <v>16</v>
      </c>
      <c r="C25" s="3"/>
      <c r="D25" s="3"/>
      <c r="E25" s="15"/>
    </row>
    <row r="27" spans="2:5" x14ac:dyDescent="0.3">
      <c r="C27" s="11" t="s">
        <v>8</v>
      </c>
      <c r="D27" s="12"/>
      <c r="E27" s="29" t="s">
        <v>72</v>
      </c>
    </row>
  </sheetData>
  <mergeCells count="6">
    <mergeCell ref="D7:E7"/>
    <mergeCell ref="H1:J1"/>
    <mergeCell ref="B2:E2"/>
    <mergeCell ref="D4:E4"/>
    <mergeCell ref="D6:E6"/>
    <mergeCell ref="D5:E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J28"/>
  <sheetViews>
    <sheetView topLeftCell="A3" workbookViewId="0">
      <selection activeCell="E12" sqref="E12"/>
    </sheetView>
  </sheetViews>
  <sheetFormatPr defaultColWidth="8.88671875" defaultRowHeight="14.4" x14ac:dyDescent="0.3"/>
  <cols>
    <col min="1" max="1" width="8.88671875" style="6"/>
    <col min="2" max="2" width="12.33203125" style="6" customWidth="1"/>
    <col min="3" max="3" width="16.33203125" style="6" customWidth="1"/>
    <col min="4" max="4" width="16.5546875" style="6" bestFit="1" customWidth="1"/>
    <col min="5" max="5" width="41.44140625" style="6" customWidth="1"/>
    <col min="6" max="8" width="8.88671875" style="6"/>
    <col min="9" max="9" width="22.109375" style="6" customWidth="1"/>
    <col min="10" max="16384" width="8.88671875" style="6"/>
  </cols>
  <sheetData>
    <row r="1" spans="1:10" ht="15.6" x14ac:dyDescent="0.3">
      <c r="A1" s="4"/>
      <c r="B1" s="5" t="s">
        <v>3</v>
      </c>
      <c r="H1" s="33" t="s">
        <v>23</v>
      </c>
      <c r="I1" s="33"/>
      <c r="J1" s="33"/>
    </row>
    <row r="2" spans="1:10" x14ac:dyDescent="0.3">
      <c r="B2" s="34" t="s">
        <v>18</v>
      </c>
      <c r="C2" s="34"/>
      <c r="D2" s="34"/>
      <c r="E2" s="34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22" t="s">
        <v>33</v>
      </c>
      <c r="J3" s="9">
        <v>236</v>
      </c>
    </row>
    <row r="4" spans="1:10" x14ac:dyDescent="0.3">
      <c r="C4" s="7" t="s">
        <v>0</v>
      </c>
      <c r="D4" s="38" t="s">
        <v>15</v>
      </c>
      <c r="E4" s="38"/>
      <c r="H4" s="17" t="s">
        <v>21</v>
      </c>
      <c r="I4" s="23" t="s">
        <v>34</v>
      </c>
      <c r="J4" s="9">
        <v>236</v>
      </c>
    </row>
    <row r="5" spans="1:10" x14ac:dyDescent="0.3">
      <c r="C5" s="7" t="s">
        <v>10</v>
      </c>
      <c r="D5" s="39" t="s">
        <v>12</v>
      </c>
      <c r="E5" s="40"/>
      <c r="H5" s="17" t="s">
        <v>22</v>
      </c>
      <c r="I5" s="3"/>
      <c r="J5" s="3"/>
    </row>
    <row r="6" spans="1:10" x14ac:dyDescent="0.3">
      <c r="B6" s="8"/>
      <c r="C6" s="9" t="s">
        <v>2</v>
      </c>
      <c r="D6" s="32" t="s">
        <v>34</v>
      </c>
      <c r="E6" s="32"/>
    </row>
    <row r="7" spans="1:10" x14ac:dyDescent="0.3">
      <c r="C7" s="9" t="s">
        <v>1</v>
      </c>
      <c r="D7" s="31">
        <v>46091</v>
      </c>
      <c r="E7" s="32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ht="57.6" x14ac:dyDescent="0.3">
      <c r="B10" s="3">
        <v>1</v>
      </c>
      <c r="C10" s="1" t="s">
        <v>74</v>
      </c>
      <c r="D10" s="2" t="s">
        <v>112</v>
      </c>
      <c r="E10" s="2" t="s">
        <v>77</v>
      </c>
    </row>
    <row r="11" spans="1:10" ht="43.2" x14ac:dyDescent="0.3">
      <c r="B11" s="3">
        <f>B10+1</f>
        <v>2</v>
      </c>
      <c r="C11" s="1" t="s">
        <v>78</v>
      </c>
      <c r="D11" s="2"/>
      <c r="E11" s="2" t="s">
        <v>79</v>
      </c>
    </row>
    <row r="12" spans="1:10" ht="28.8" x14ac:dyDescent="0.3">
      <c r="B12" s="3">
        <f t="shared" ref="B12:B26" si="0">B11+1</f>
        <v>3</v>
      </c>
      <c r="C12" s="1" t="s">
        <v>76</v>
      </c>
      <c r="D12" s="1"/>
      <c r="E12" s="2" t="s">
        <v>80</v>
      </c>
    </row>
    <row r="13" spans="1:10" ht="43.2" x14ac:dyDescent="0.3">
      <c r="B13" s="3">
        <f t="shared" si="0"/>
        <v>4</v>
      </c>
      <c r="C13" s="1" t="s">
        <v>75</v>
      </c>
      <c r="D13" s="1"/>
      <c r="E13" s="2" t="s">
        <v>81</v>
      </c>
    </row>
    <row r="14" spans="1:10" x14ac:dyDescent="0.3">
      <c r="B14" s="3">
        <f t="shared" si="0"/>
        <v>5</v>
      </c>
      <c r="C14" s="1"/>
      <c r="D14" s="2"/>
      <c r="E14" s="2"/>
    </row>
    <row r="15" spans="1:10" x14ac:dyDescent="0.3">
      <c r="B15" s="3">
        <f t="shared" si="0"/>
        <v>6</v>
      </c>
      <c r="C15" s="1"/>
      <c r="D15" s="1"/>
      <c r="E15" s="2"/>
    </row>
    <row r="16" spans="1:10" x14ac:dyDescent="0.3">
      <c r="B16" s="3">
        <f t="shared" si="0"/>
        <v>7</v>
      </c>
      <c r="C16" s="1"/>
      <c r="D16" s="2"/>
      <c r="E16" s="2"/>
    </row>
    <row r="17" spans="2:5" x14ac:dyDescent="0.3">
      <c r="B17" s="3">
        <f t="shared" si="0"/>
        <v>8</v>
      </c>
      <c r="C17" s="1"/>
      <c r="D17" s="2"/>
      <c r="E17" s="2"/>
    </row>
    <row r="18" spans="2:5" x14ac:dyDescent="0.3">
      <c r="B18" s="3">
        <f t="shared" si="0"/>
        <v>9</v>
      </c>
      <c r="C18" s="1"/>
      <c r="D18" s="1"/>
      <c r="E18" s="2"/>
    </row>
    <row r="19" spans="2:5" x14ac:dyDescent="0.3">
      <c r="B19" s="3">
        <f t="shared" si="0"/>
        <v>10</v>
      </c>
      <c r="C19" s="1"/>
      <c r="D19" s="2"/>
      <c r="E19" s="2"/>
    </row>
    <row r="20" spans="2:5" x14ac:dyDescent="0.3">
      <c r="B20" s="3">
        <f t="shared" si="0"/>
        <v>11</v>
      </c>
      <c r="C20" s="1"/>
      <c r="D20" s="1"/>
      <c r="E20" s="2"/>
    </row>
    <row r="21" spans="2:5" x14ac:dyDescent="0.3">
      <c r="B21" s="3">
        <f t="shared" si="0"/>
        <v>12</v>
      </c>
      <c r="C21" s="1"/>
      <c r="D21" s="1"/>
      <c r="E21" s="2"/>
    </row>
    <row r="22" spans="2:5" x14ac:dyDescent="0.3">
      <c r="B22" s="3">
        <f t="shared" si="0"/>
        <v>13</v>
      </c>
      <c r="C22" s="1"/>
      <c r="D22" s="1"/>
      <c r="E22" s="2"/>
    </row>
    <row r="23" spans="2:5" x14ac:dyDescent="0.3">
      <c r="B23" s="3">
        <f t="shared" si="0"/>
        <v>14</v>
      </c>
      <c r="C23" s="1"/>
      <c r="D23" s="1"/>
      <c r="E23" s="2"/>
    </row>
    <row r="24" spans="2:5" x14ac:dyDescent="0.3">
      <c r="B24" s="3">
        <f t="shared" si="0"/>
        <v>15</v>
      </c>
      <c r="C24" s="1"/>
      <c r="D24" s="1"/>
      <c r="E24" s="2"/>
    </row>
    <row r="25" spans="2:5" x14ac:dyDescent="0.3">
      <c r="B25" s="3">
        <f t="shared" si="0"/>
        <v>16</v>
      </c>
      <c r="C25" s="1"/>
      <c r="D25" s="1"/>
      <c r="E25" s="2"/>
    </row>
    <row r="26" spans="2:5" x14ac:dyDescent="0.3">
      <c r="B26" s="3">
        <f t="shared" si="0"/>
        <v>17</v>
      </c>
      <c r="C26" s="1"/>
      <c r="D26" s="1"/>
      <c r="E26" s="2"/>
    </row>
    <row r="28" spans="2:5" x14ac:dyDescent="0.3">
      <c r="C28" s="11" t="s">
        <v>8</v>
      </c>
      <c r="D28" s="12"/>
      <c r="E28" s="1">
        <v>1</v>
      </c>
    </row>
  </sheetData>
  <mergeCells count="6">
    <mergeCell ref="H1:J1"/>
    <mergeCell ref="B2:E2"/>
    <mergeCell ref="D4:E4"/>
    <mergeCell ref="D6:E6"/>
    <mergeCell ref="D7:E7"/>
    <mergeCell ref="D5:E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</sheetPr>
  <dimension ref="A1:J33"/>
  <sheetViews>
    <sheetView topLeftCell="A10" zoomScaleNormal="100" workbookViewId="0">
      <selection activeCell="E15" sqref="E15"/>
    </sheetView>
  </sheetViews>
  <sheetFormatPr defaultColWidth="8.88671875" defaultRowHeight="14.4" x14ac:dyDescent="0.3"/>
  <cols>
    <col min="1" max="1" width="8.88671875" style="6"/>
    <col min="2" max="2" width="12.33203125" style="6" customWidth="1"/>
    <col min="3" max="3" width="16.33203125" style="6" customWidth="1"/>
    <col min="4" max="4" width="22.5546875" style="6" customWidth="1"/>
    <col min="5" max="5" width="51.6640625" style="6" customWidth="1"/>
    <col min="6" max="7" width="8.88671875" style="6"/>
    <col min="8" max="8" width="11.109375" style="6" customWidth="1"/>
    <col min="9" max="9" width="26.6640625" style="6" customWidth="1"/>
    <col min="10" max="16384" width="8.88671875" style="6"/>
  </cols>
  <sheetData>
    <row r="1" spans="1:10" ht="15.6" x14ac:dyDescent="0.3">
      <c r="A1" s="4"/>
      <c r="B1" s="5" t="s">
        <v>3</v>
      </c>
      <c r="H1" s="33" t="s">
        <v>23</v>
      </c>
      <c r="I1" s="33"/>
      <c r="J1" s="33"/>
    </row>
    <row r="2" spans="1:10" x14ac:dyDescent="0.3">
      <c r="B2" s="34" t="s">
        <v>17</v>
      </c>
      <c r="C2" s="34"/>
      <c r="D2" s="34"/>
      <c r="E2" s="34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22" t="s">
        <v>33</v>
      </c>
      <c r="J3" s="9">
        <v>236</v>
      </c>
    </row>
    <row r="4" spans="1:10" x14ac:dyDescent="0.3">
      <c r="C4" s="16" t="s">
        <v>0</v>
      </c>
      <c r="D4" s="41" t="s">
        <v>16</v>
      </c>
      <c r="E4" s="41"/>
      <c r="H4" s="17" t="s">
        <v>21</v>
      </c>
      <c r="I4" s="23" t="s">
        <v>34</v>
      </c>
      <c r="J4" s="9">
        <v>236</v>
      </c>
    </row>
    <row r="5" spans="1:10" x14ac:dyDescent="0.3">
      <c r="C5" s="16" t="s">
        <v>9</v>
      </c>
      <c r="D5" s="42" t="s">
        <v>11</v>
      </c>
      <c r="E5" s="43"/>
      <c r="H5" s="17" t="s">
        <v>22</v>
      </c>
      <c r="I5" s="3"/>
      <c r="J5" s="3"/>
    </row>
    <row r="6" spans="1:10" x14ac:dyDescent="0.3">
      <c r="B6" s="8"/>
      <c r="C6" s="9" t="s">
        <v>2</v>
      </c>
      <c r="D6" s="32" t="s">
        <v>33</v>
      </c>
      <c r="E6" s="32"/>
    </row>
    <row r="7" spans="1:10" x14ac:dyDescent="0.3">
      <c r="C7" s="9" t="s">
        <v>1</v>
      </c>
      <c r="D7" s="31">
        <v>46091</v>
      </c>
      <c r="E7" s="32"/>
    </row>
    <row r="9" spans="1:10" x14ac:dyDescent="0.3">
      <c r="B9" s="10" t="s">
        <v>4</v>
      </c>
      <c r="C9" s="10" t="s">
        <v>5</v>
      </c>
      <c r="D9" s="10" t="s">
        <v>6</v>
      </c>
      <c r="E9" s="10" t="s">
        <v>7</v>
      </c>
    </row>
    <row r="10" spans="1:10" ht="35.25" customHeight="1" x14ac:dyDescent="0.3">
      <c r="B10" s="28">
        <v>1</v>
      </c>
      <c r="C10" s="24" t="s">
        <v>35</v>
      </c>
      <c r="D10" s="25" t="s">
        <v>113</v>
      </c>
      <c r="E10" s="26" t="s">
        <v>41</v>
      </c>
    </row>
    <row r="11" spans="1:10" ht="28.8" x14ac:dyDescent="0.3">
      <c r="B11" s="28">
        <f>B10+1</f>
        <v>2</v>
      </c>
      <c r="C11" s="24" t="s">
        <v>35</v>
      </c>
      <c r="D11" s="24" t="s">
        <v>51</v>
      </c>
      <c r="E11" s="27" t="s">
        <v>61</v>
      </c>
    </row>
    <row r="12" spans="1:10" ht="28.8" x14ac:dyDescent="0.3">
      <c r="B12" s="28">
        <f>B11+1</f>
        <v>3</v>
      </c>
      <c r="C12" s="24" t="s">
        <v>35</v>
      </c>
      <c r="D12" s="25" t="s">
        <v>53</v>
      </c>
      <c r="E12" s="27" t="s">
        <v>62</v>
      </c>
    </row>
    <row r="13" spans="1:10" ht="28.8" x14ac:dyDescent="0.3">
      <c r="B13" s="28">
        <f>B12+1</f>
        <v>4</v>
      </c>
      <c r="C13" s="24" t="s">
        <v>35</v>
      </c>
      <c r="D13" s="25" t="s">
        <v>114</v>
      </c>
      <c r="E13" s="27" t="s">
        <v>58</v>
      </c>
    </row>
    <row r="14" spans="1:10" ht="28.8" x14ac:dyDescent="0.3">
      <c r="B14" s="28">
        <f>B13+1</f>
        <v>5</v>
      </c>
      <c r="C14" s="24" t="s">
        <v>36</v>
      </c>
      <c r="D14" s="25" t="s">
        <v>55</v>
      </c>
      <c r="E14" s="27" t="s">
        <v>60</v>
      </c>
    </row>
    <row r="15" spans="1:10" x14ac:dyDescent="0.3">
      <c r="B15" s="28">
        <f>B14+1</f>
        <v>6</v>
      </c>
      <c r="C15" s="24" t="s">
        <v>37</v>
      </c>
      <c r="D15" s="25" t="s">
        <v>46</v>
      </c>
      <c r="E15" s="27" t="s">
        <v>47</v>
      </c>
    </row>
    <row r="16" spans="1:10" ht="28.8" x14ac:dyDescent="0.3">
      <c r="B16" s="28">
        <f>B15+1</f>
        <v>7</v>
      </c>
      <c r="C16" s="24" t="s">
        <v>37</v>
      </c>
      <c r="D16" s="24" t="s">
        <v>42</v>
      </c>
      <c r="E16" s="27" t="s">
        <v>59</v>
      </c>
    </row>
    <row r="17" spans="2:5" ht="28.8" x14ac:dyDescent="0.3">
      <c r="B17" s="28">
        <f>B16+1</f>
        <v>8</v>
      </c>
      <c r="C17" s="24" t="s">
        <v>37</v>
      </c>
      <c r="D17" s="25" t="s">
        <v>53</v>
      </c>
      <c r="E17" s="27" t="s">
        <v>52</v>
      </c>
    </row>
    <row r="18" spans="2:5" ht="43.2" x14ac:dyDescent="0.3">
      <c r="B18" s="28">
        <f>B17+1</f>
        <v>9</v>
      </c>
      <c r="C18" s="24" t="s">
        <v>38</v>
      </c>
      <c r="D18" s="25" t="s">
        <v>56</v>
      </c>
      <c r="E18" s="27" t="s">
        <v>57</v>
      </c>
    </row>
    <row r="19" spans="2:5" x14ac:dyDescent="0.3">
      <c r="B19" s="28">
        <f>B18+1</f>
        <v>10</v>
      </c>
      <c r="C19" s="24" t="s">
        <v>39</v>
      </c>
      <c r="D19" s="24" t="s">
        <v>43</v>
      </c>
      <c r="E19" s="27" t="s">
        <v>44</v>
      </c>
    </row>
    <row r="20" spans="2:5" ht="28.8" x14ac:dyDescent="0.3">
      <c r="B20" s="28">
        <f>B19+1</f>
        <v>11</v>
      </c>
      <c r="C20" s="24" t="s">
        <v>40</v>
      </c>
      <c r="D20" s="25" t="s">
        <v>48</v>
      </c>
      <c r="E20" s="27" t="s">
        <v>45</v>
      </c>
    </row>
    <row r="21" spans="2:5" x14ac:dyDescent="0.3">
      <c r="B21" s="28">
        <f>B20+1</f>
        <v>12</v>
      </c>
      <c r="C21" s="24" t="s">
        <v>54</v>
      </c>
      <c r="D21" s="25" t="s">
        <v>49</v>
      </c>
      <c r="E21" s="27" t="s">
        <v>50</v>
      </c>
    </row>
    <row r="22" spans="2:5" x14ac:dyDescent="0.3">
      <c r="B22" s="28"/>
      <c r="C22" s="24"/>
      <c r="D22" s="25"/>
      <c r="E22" s="27"/>
    </row>
    <row r="23" spans="2:5" x14ac:dyDescent="0.3">
      <c r="B23" s="28"/>
      <c r="C23" s="24"/>
      <c r="D23" s="25"/>
      <c r="E23" s="27"/>
    </row>
    <row r="24" spans="2:5" x14ac:dyDescent="0.3">
      <c r="B24" s="28"/>
      <c r="C24" s="24"/>
      <c r="D24" s="25"/>
      <c r="E24" s="27"/>
    </row>
    <row r="25" spans="2:5" x14ac:dyDescent="0.3">
      <c r="B25" s="3"/>
      <c r="C25" s="24"/>
      <c r="D25" s="25"/>
      <c r="E25" s="27"/>
    </row>
    <row r="26" spans="2:5" x14ac:dyDescent="0.3">
      <c r="B26" s="3"/>
      <c r="C26" s="24"/>
      <c r="D26" s="25"/>
      <c r="E26" s="27"/>
    </row>
    <row r="27" spans="2:5" x14ac:dyDescent="0.3">
      <c r="B27" s="3"/>
      <c r="C27" s="24"/>
      <c r="D27" s="25"/>
      <c r="E27" s="27"/>
    </row>
    <row r="28" spans="2:5" x14ac:dyDescent="0.3">
      <c r="B28" s="3"/>
      <c r="C28" s="24"/>
      <c r="D28" s="25"/>
      <c r="E28" s="27"/>
    </row>
    <row r="29" spans="2:5" x14ac:dyDescent="0.3">
      <c r="B29" s="3"/>
      <c r="C29" s="24"/>
      <c r="D29" s="25"/>
      <c r="E29" s="27"/>
    </row>
    <row r="30" spans="2:5" x14ac:dyDescent="0.3">
      <c r="B30" s="3"/>
      <c r="C30" s="24"/>
      <c r="D30" s="25"/>
      <c r="E30" s="27"/>
    </row>
    <row r="31" spans="2:5" x14ac:dyDescent="0.3">
      <c r="B31" s="3"/>
      <c r="C31" s="24"/>
      <c r="D31" s="25"/>
      <c r="E31" s="27"/>
    </row>
    <row r="33" spans="3:5" x14ac:dyDescent="0.3">
      <c r="C33" s="11" t="s">
        <v>8</v>
      </c>
      <c r="D33" s="12"/>
      <c r="E33" s="1">
        <v>1</v>
      </c>
    </row>
  </sheetData>
  <mergeCells count="6">
    <mergeCell ref="D7:E7"/>
    <mergeCell ref="H1:J1"/>
    <mergeCell ref="D4:E4"/>
    <mergeCell ref="D6:E6"/>
    <mergeCell ref="B2:E2"/>
    <mergeCell ref="D5:E5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J35"/>
  <sheetViews>
    <sheetView tabSelected="1" topLeftCell="A6" zoomScale="85" zoomScaleNormal="85" workbookViewId="0">
      <selection activeCell="F15" sqref="F15"/>
    </sheetView>
  </sheetViews>
  <sheetFormatPr defaultColWidth="8.88671875" defaultRowHeight="14.4" x14ac:dyDescent="0.3"/>
  <cols>
    <col min="1" max="1" width="8.88671875" style="6"/>
    <col min="2" max="2" width="12.33203125" style="6" customWidth="1"/>
    <col min="3" max="3" width="23.5546875" style="6" customWidth="1"/>
    <col min="4" max="4" width="49" style="6" customWidth="1"/>
    <col min="5" max="5" width="48.88671875" style="6" customWidth="1"/>
    <col min="6" max="6" width="52.109375" style="6" customWidth="1"/>
    <col min="7" max="8" width="8.88671875" style="6"/>
    <col min="9" max="9" width="26.6640625" style="6" customWidth="1"/>
    <col min="10" max="16384" width="8.88671875" style="6"/>
  </cols>
  <sheetData>
    <row r="1" spans="1:10" ht="15.6" x14ac:dyDescent="0.3">
      <c r="A1" s="4"/>
      <c r="B1" s="5" t="s">
        <v>3</v>
      </c>
      <c r="H1" s="33" t="s">
        <v>23</v>
      </c>
      <c r="I1" s="33"/>
      <c r="J1" s="33"/>
    </row>
    <row r="2" spans="1:10" x14ac:dyDescent="0.3">
      <c r="B2" s="34" t="s">
        <v>31</v>
      </c>
      <c r="C2" s="34"/>
      <c r="D2" s="34"/>
      <c r="E2" s="34"/>
      <c r="H2" s="3"/>
      <c r="I2" s="19" t="s">
        <v>30</v>
      </c>
      <c r="J2" s="17" t="s">
        <v>24</v>
      </c>
    </row>
    <row r="3" spans="1:10" x14ac:dyDescent="0.3">
      <c r="H3" s="17" t="s">
        <v>20</v>
      </c>
      <c r="I3" s="22" t="s">
        <v>33</v>
      </c>
      <c r="J3" s="9">
        <v>236</v>
      </c>
    </row>
    <row r="4" spans="1:10" x14ac:dyDescent="0.3">
      <c r="C4" s="16" t="s">
        <v>25</v>
      </c>
      <c r="D4" s="41" t="s">
        <v>82</v>
      </c>
      <c r="E4" s="41"/>
      <c r="H4" s="17" t="s">
        <v>21</v>
      </c>
      <c r="I4" s="23" t="s">
        <v>34</v>
      </c>
      <c r="J4" s="9">
        <v>236</v>
      </c>
    </row>
    <row r="5" spans="1:10" x14ac:dyDescent="0.3">
      <c r="C5" s="9" t="s">
        <v>2</v>
      </c>
      <c r="D5" s="32" t="s">
        <v>33</v>
      </c>
      <c r="E5" s="32"/>
      <c r="H5" s="17" t="s">
        <v>22</v>
      </c>
      <c r="I5" s="3"/>
      <c r="J5" s="3"/>
    </row>
    <row r="6" spans="1:10" x14ac:dyDescent="0.3">
      <c r="B6" s="8"/>
      <c r="C6" s="9" t="s">
        <v>1</v>
      </c>
      <c r="D6" s="31">
        <v>46092</v>
      </c>
      <c r="E6" s="32"/>
      <c r="F6" s="20"/>
    </row>
    <row r="9" spans="1:10" x14ac:dyDescent="0.3">
      <c r="B9" s="10" t="s">
        <v>4</v>
      </c>
      <c r="C9" s="10" t="s">
        <v>28</v>
      </c>
      <c r="D9" s="10" t="s">
        <v>27</v>
      </c>
      <c r="E9" s="10" t="s">
        <v>26</v>
      </c>
      <c r="F9" s="10" t="s">
        <v>29</v>
      </c>
    </row>
    <row r="10" spans="1:10" ht="75" customHeight="1" x14ac:dyDescent="0.3">
      <c r="B10" s="3">
        <v>1</v>
      </c>
      <c r="C10" s="24" t="s">
        <v>83</v>
      </c>
      <c r="D10" s="25" t="s">
        <v>84</v>
      </c>
      <c r="E10" s="30" t="s">
        <v>86</v>
      </c>
      <c r="F10" s="30" t="s">
        <v>87</v>
      </c>
    </row>
    <row r="11" spans="1:10" ht="60" customHeight="1" x14ac:dyDescent="0.3">
      <c r="B11" s="3">
        <f>B10+1</f>
        <v>2</v>
      </c>
      <c r="C11" s="24" t="s">
        <v>85</v>
      </c>
      <c r="D11" s="24" t="s">
        <v>99</v>
      </c>
      <c r="E11" s="30" t="s">
        <v>88</v>
      </c>
      <c r="F11" s="30" t="s">
        <v>89</v>
      </c>
    </row>
    <row r="12" spans="1:10" ht="36" x14ac:dyDescent="0.3">
      <c r="B12" s="3">
        <f t="shared" ref="B12:B30" si="0">B11+1</f>
        <v>3</v>
      </c>
      <c r="C12" s="24" t="s">
        <v>90</v>
      </c>
      <c r="D12" s="24" t="s">
        <v>100</v>
      </c>
      <c r="E12" s="30" t="s">
        <v>91</v>
      </c>
      <c r="F12" s="30" t="s">
        <v>92</v>
      </c>
    </row>
    <row r="13" spans="1:10" ht="28.8" x14ac:dyDescent="0.3">
      <c r="B13" s="3">
        <f t="shared" si="0"/>
        <v>4</v>
      </c>
      <c r="C13" s="24" t="s">
        <v>93</v>
      </c>
      <c r="D13" s="25" t="s">
        <v>101</v>
      </c>
      <c r="E13" s="30" t="s">
        <v>94</v>
      </c>
      <c r="F13" s="30" t="s">
        <v>95</v>
      </c>
    </row>
    <row r="14" spans="1:10" x14ac:dyDescent="0.3">
      <c r="B14" s="3">
        <f t="shared" si="0"/>
        <v>5</v>
      </c>
      <c r="C14" s="24" t="s">
        <v>97</v>
      </c>
      <c r="D14" s="25" t="s">
        <v>102</v>
      </c>
      <c r="E14" s="30" t="s">
        <v>96</v>
      </c>
      <c r="F14" s="30"/>
    </row>
    <row r="15" spans="1:10" ht="28.8" x14ac:dyDescent="0.3">
      <c r="B15" s="3">
        <f t="shared" si="0"/>
        <v>6</v>
      </c>
      <c r="C15" s="24" t="s">
        <v>98</v>
      </c>
      <c r="D15" s="25" t="s">
        <v>103</v>
      </c>
      <c r="E15" s="30"/>
      <c r="F15" s="30" t="s">
        <v>104</v>
      </c>
    </row>
    <row r="16" spans="1:10" ht="60" x14ac:dyDescent="0.3">
      <c r="B16" s="3">
        <f t="shared" si="0"/>
        <v>7</v>
      </c>
      <c r="C16" s="24" t="s">
        <v>106</v>
      </c>
      <c r="D16" s="25" t="s">
        <v>105</v>
      </c>
      <c r="E16" s="30" t="s">
        <v>107</v>
      </c>
      <c r="F16" s="30" t="s">
        <v>108</v>
      </c>
    </row>
    <row r="17" spans="2:6" ht="24" x14ac:dyDescent="0.3">
      <c r="B17" s="3">
        <f t="shared" si="0"/>
        <v>8</v>
      </c>
      <c r="C17" s="24" t="s">
        <v>110</v>
      </c>
      <c r="D17" s="25" t="s">
        <v>109</v>
      </c>
      <c r="E17" s="30" t="s">
        <v>111</v>
      </c>
      <c r="F17" s="30"/>
    </row>
    <row r="18" spans="2:6" x14ac:dyDescent="0.3">
      <c r="B18" s="3">
        <f t="shared" si="0"/>
        <v>9</v>
      </c>
      <c r="C18" s="24"/>
      <c r="D18" s="25"/>
      <c r="E18" s="30"/>
      <c r="F18" s="30"/>
    </row>
    <row r="19" spans="2:6" x14ac:dyDescent="0.3">
      <c r="B19" s="3">
        <f t="shared" si="0"/>
        <v>10</v>
      </c>
      <c r="C19" s="24"/>
      <c r="D19" s="24"/>
      <c r="E19" s="30"/>
      <c r="F19" s="30"/>
    </row>
    <row r="20" spans="2:6" x14ac:dyDescent="0.3">
      <c r="B20" s="3">
        <f t="shared" si="0"/>
        <v>11</v>
      </c>
      <c r="C20" s="24"/>
      <c r="D20" s="25"/>
      <c r="E20" s="30"/>
      <c r="F20" s="30"/>
    </row>
    <row r="21" spans="2:6" x14ac:dyDescent="0.3">
      <c r="B21" s="3">
        <f t="shared" si="0"/>
        <v>12</v>
      </c>
      <c r="C21" s="24"/>
      <c r="D21" s="24"/>
      <c r="E21" s="30"/>
      <c r="F21" s="30"/>
    </row>
    <row r="22" spans="2:6" x14ac:dyDescent="0.3">
      <c r="B22" s="3">
        <f t="shared" si="0"/>
        <v>13</v>
      </c>
      <c r="C22" s="24"/>
      <c r="D22" s="25"/>
      <c r="E22" s="30"/>
      <c r="F22" s="30"/>
    </row>
    <row r="23" spans="2:6" x14ac:dyDescent="0.3">
      <c r="B23" s="3">
        <f t="shared" si="0"/>
        <v>14</v>
      </c>
      <c r="C23" s="24"/>
      <c r="D23" s="25"/>
      <c r="E23" s="25"/>
      <c r="F23" s="25"/>
    </row>
    <row r="24" spans="2:6" x14ac:dyDescent="0.3">
      <c r="B24" s="3">
        <f t="shared" si="0"/>
        <v>15</v>
      </c>
      <c r="C24" s="24"/>
      <c r="D24" s="25"/>
      <c r="E24" s="25"/>
      <c r="F24" s="25"/>
    </row>
    <row r="25" spans="2:6" x14ac:dyDescent="0.3">
      <c r="B25" s="3">
        <f t="shared" si="0"/>
        <v>16</v>
      </c>
      <c r="C25" s="24"/>
      <c r="D25" s="25"/>
      <c r="E25" s="25"/>
      <c r="F25" s="25"/>
    </row>
    <row r="26" spans="2:6" x14ac:dyDescent="0.3">
      <c r="B26" s="3">
        <f t="shared" si="0"/>
        <v>17</v>
      </c>
      <c r="C26" s="24"/>
      <c r="D26" s="24"/>
      <c r="E26" s="25"/>
      <c r="F26" s="25"/>
    </row>
    <row r="27" spans="2:6" x14ac:dyDescent="0.3">
      <c r="B27" s="3">
        <f t="shared" si="0"/>
        <v>18</v>
      </c>
      <c r="C27" s="1"/>
      <c r="D27" s="2"/>
      <c r="E27" s="1"/>
      <c r="F27" s="1"/>
    </row>
    <row r="28" spans="2:6" x14ac:dyDescent="0.3">
      <c r="B28" s="3">
        <f t="shared" si="0"/>
        <v>19</v>
      </c>
      <c r="C28" s="1"/>
      <c r="D28" s="2"/>
      <c r="E28" s="2"/>
      <c r="F28" s="2"/>
    </row>
    <row r="29" spans="2:6" x14ac:dyDescent="0.3">
      <c r="B29" s="3">
        <f t="shared" si="0"/>
        <v>20</v>
      </c>
      <c r="C29" s="1"/>
      <c r="D29" s="2"/>
      <c r="E29" s="2"/>
      <c r="F29" s="2"/>
    </row>
    <row r="30" spans="2:6" x14ac:dyDescent="0.3">
      <c r="B30" s="3">
        <f t="shared" si="0"/>
        <v>21</v>
      </c>
      <c r="C30" s="1"/>
      <c r="D30" s="2"/>
      <c r="E30" s="2"/>
      <c r="F30" s="2"/>
    </row>
    <row r="32" spans="2:6" x14ac:dyDescent="0.3">
      <c r="C32" s="44" t="s">
        <v>32</v>
      </c>
      <c r="D32" s="45"/>
      <c r="E32" s="45"/>
      <c r="F32" s="18" t="s">
        <v>72</v>
      </c>
    </row>
    <row r="35" spans="6:6" x14ac:dyDescent="0.3">
      <c r="F35" s="21"/>
    </row>
  </sheetData>
  <mergeCells count="6">
    <mergeCell ref="C32:E32"/>
    <mergeCell ref="H1:J1"/>
    <mergeCell ref="B2:E2"/>
    <mergeCell ref="D4:E4"/>
    <mergeCell ref="D5:E5"/>
    <mergeCell ref="D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4</vt:i4>
      </vt:variant>
    </vt:vector>
  </HeadingPairs>
  <TitlesOfParts>
    <vt:vector size="4" baseType="lpstr">
      <vt:lpstr>Requirements Phase Defects</vt:lpstr>
      <vt:lpstr>Architect. Design Phase Defects</vt:lpstr>
      <vt:lpstr>Coding Phase Defects</vt:lpstr>
      <vt:lpstr>Tool-basedCodeAnalysis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Andreea</dc:creator>
  <cp:lastModifiedBy>Sebastian Secure</cp:lastModifiedBy>
  <dcterms:created xsi:type="dcterms:W3CDTF">2015-02-21T15:59:19Z</dcterms:created>
  <dcterms:modified xsi:type="dcterms:W3CDTF">2026-03-13T09:37:36Z</dcterms:modified>
</cp:coreProperties>
</file>